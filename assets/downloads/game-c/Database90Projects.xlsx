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space\StaticApps\simse-software-estimation-capability\assets\downloads\game-c\"/>
    </mc:Choice>
  </mc:AlternateContent>
  <xr:revisionPtr revIDLastSave="0" documentId="13_ncr:1_{0850389B-4465-4CB9-8A33-81B501C3D101}" xr6:coauthVersionLast="47" xr6:coauthVersionMax="47" xr10:uidLastSave="{00000000-0000-0000-0000-000000000000}"/>
  <bookViews>
    <workbookView xWindow="-110" yWindow="-110" windowWidth="38620" windowHeight="21100" activeTab="10" xr2:uid="{B96840B6-E96A-DD4F-B911-7A987F387927}"/>
  </bookViews>
  <sheets>
    <sheet name="Database" sheetId="1" r:id="rId1"/>
    <sheet name="Business-Web-New-Java " sheetId="2" r:id="rId2"/>
    <sheet name="Real time-Maintenance-Java" sheetId="17" r:id="rId3"/>
    <sheet name="Real time-Maintenance" sheetId="16" r:id="rId4"/>
    <sheet name="Real time-C" sheetId="19" r:id="rId5"/>
    <sheet name="Maintenance" sheetId="18" r:id="rId6"/>
    <sheet name="Business-New" sheetId="9" r:id="rId7"/>
    <sheet name="Real time" sheetId="15" r:id="rId8"/>
    <sheet name="New" sheetId="14" r:id="rId9"/>
    <sheet name="C" sheetId="11" r:id="rId10"/>
    <sheet name="Java" sheetId="12" r:id="rId11"/>
  </sheets>
  <definedNames>
    <definedName name="_xlnm._FilterDatabase" localSheetId="0" hidden="1">Database!$A$1:$G$91</definedName>
  </definedNames>
  <calcPr calcId="191028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2" i="19" l="1"/>
  <c r="I132" i="19" s="1"/>
  <c r="J132" i="19" s="1"/>
  <c r="H133" i="19"/>
  <c r="H134" i="19"/>
  <c r="I134" i="19" s="1"/>
  <c r="J134" i="19" s="1"/>
  <c r="H135" i="19"/>
  <c r="I135" i="19" s="1"/>
  <c r="J135" i="19" s="1"/>
  <c r="H136" i="19"/>
  <c r="I136" i="19" s="1"/>
  <c r="J136" i="19" s="1"/>
  <c r="H137" i="19"/>
  <c r="H138" i="19"/>
  <c r="I138" i="19" s="1"/>
  <c r="J138" i="19" s="1"/>
  <c r="H139" i="19"/>
  <c r="H140" i="19"/>
  <c r="I140" i="19" s="1"/>
  <c r="J140" i="19" s="1"/>
  <c r="H141" i="19"/>
  <c r="H142" i="19"/>
  <c r="I142" i="19" s="1"/>
  <c r="J142" i="19" s="1"/>
  <c r="H143" i="19"/>
  <c r="I143" i="19" s="1"/>
  <c r="J143" i="19" s="1"/>
  <c r="H144" i="19"/>
  <c r="H145" i="19"/>
  <c r="I145" i="19" s="1"/>
  <c r="J145" i="19" s="1"/>
  <c r="H146" i="19"/>
  <c r="I146" i="19" s="1"/>
  <c r="J146" i="19" s="1"/>
  <c r="H147" i="19"/>
  <c r="H131" i="19"/>
  <c r="I137" i="19"/>
  <c r="J137" i="19" s="1"/>
  <c r="I139" i="19"/>
  <c r="J139" i="19" s="1"/>
  <c r="I141" i="19"/>
  <c r="J141" i="19" s="1"/>
  <c r="I144" i="19"/>
  <c r="J144" i="19" s="1"/>
  <c r="I147" i="19"/>
  <c r="J147" i="19" s="1"/>
  <c r="I133" i="19"/>
  <c r="J133" i="19" s="1"/>
  <c r="I131" i="19"/>
  <c r="J131" i="19" s="1"/>
  <c r="H762" i="12"/>
  <c r="I762" i="12" s="1"/>
  <c r="J762" i="12" s="1"/>
  <c r="H763" i="12"/>
  <c r="I763" i="12" s="1"/>
  <c r="J763" i="12" s="1"/>
  <c r="H764" i="12"/>
  <c r="I764" i="12" s="1"/>
  <c r="J764" i="12" s="1"/>
  <c r="H765" i="12"/>
  <c r="I765" i="12" s="1"/>
  <c r="J765" i="12" s="1"/>
  <c r="H766" i="12"/>
  <c r="I766" i="12" s="1"/>
  <c r="J766" i="12" s="1"/>
  <c r="H767" i="12"/>
  <c r="I767" i="12" s="1"/>
  <c r="J767" i="12" s="1"/>
  <c r="H768" i="12"/>
  <c r="I768" i="12" s="1"/>
  <c r="J768" i="12" s="1"/>
  <c r="H769" i="12"/>
  <c r="I769" i="12" s="1"/>
  <c r="J769" i="12" s="1"/>
  <c r="H770" i="12"/>
  <c r="I770" i="12" s="1"/>
  <c r="J770" i="12" s="1"/>
  <c r="H771" i="12"/>
  <c r="I771" i="12" s="1"/>
  <c r="J771" i="12" s="1"/>
  <c r="H772" i="12"/>
  <c r="I772" i="12" s="1"/>
  <c r="J772" i="12" s="1"/>
  <c r="H773" i="12"/>
  <c r="I773" i="12" s="1"/>
  <c r="J773" i="12" s="1"/>
  <c r="H774" i="12"/>
  <c r="I774" i="12" s="1"/>
  <c r="J774" i="12" s="1"/>
  <c r="H775" i="12"/>
  <c r="I775" i="12" s="1"/>
  <c r="J775" i="12" s="1"/>
  <c r="H776" i="12"/>
  <c r="I776" i="12" s="1"/>
  <c r="J776" i="12" s="1"/>
  <c r="H777" i="12"/>
  <c r="I777" i="12" s="1"/>
  <c r="J777" i="12" s="1"/>
  <c r="H778" i="12"/>
  <c r="I778" i="12" s="1"/>
  <c r="J778" i="12" s="1"/>
  <c r="H779" i="12"/>
  <c r="I779" i="12" s="1"/>
  <c r="J779" i="12" s="1"/>
  <c r="H780" i="12"/>
  <c r="I780" i="12" s="1"/>
  <c r="J780" i="12" s="1"/>
  <c r="H781" i="12"/>
  <c r="I781" i="12" s="1"/>
  <c r="J781" i="12" s="1"/>
  <c r="H782" i="12"/>
  <c r="I782" i="12" s="1"/>
  <c r="J782" i="12" s="1"/>
  <c r="H783" i="12"/>
  <c r="I783" i="12" s="1"/>
  <c r="J783" i="12" s="1"/>
  <c r="H784" i="12"/>
  <c r="I784" i="12" s="1"/>
  <c r="J784" i="12" s="1"/>
  <c r="H785" i="12"/>
  <c r="I785" i="12" s="1"/>
  <c r="J785" i="12" s="1"/>
  <c r="H786" i="12"/>
  <c r="I786" i="12" s="1"/>
  <c r="J786" i="12" s="1"/>
  <c r="H787" i="12"/>
  <c r="I787" i="12" s="1"/>
  <c r="J787" i="12" s="1"/>
  <c r="H788" i="12"/>
  <c r="I788" i="12" s="1"/>
  <c r="J788" i="12" s="1"/>
  <c r="H789" i="12"/>
  <c r="I789" i="12" s="1"/>
  <c r="J789" i="12" s="1"/>
  <c r="H790" i="12"/>
  <c r="I790" i="12" s="1"/>
  <c r="J790" i="12" s="1"/>
  <c r="H791" i="12"/>
  <c r="I791" i="12" s="1"/>
  <c r="J791" i="12" s="1"/>
  <c r="H792" i="12"/>
  <c r="I792" i="12" s="1"/>
  <c r="J792" i="12" s="1"/>
  <c r="H793" i="12"/>
  <c r="I793" i="12" s="1"/>
  <c r="J793" i="12" s="1"/>
  <c r="H794" i="12"/>
  <c r="I794" i="12" s="1"/>
  <c r="J794" i="12" s="1"/>
  <c r="H795" i="12"/>
  <c r="I795" i="12" s="1"/>
  <c r="J795" i="12" s="1"/>
  <c r="H796" i="12"/>
  <c r="I796" i="12" s="1"/>
  <c r="J796" i="12" s="1"/>
  <c r="H797" i="12"/>
  <c r="I797" i="12" s="1"/>
  <c r="J797" i="12" s="1"/>
  <c r="H798" i="12"/>
  <c r="I798" i="12" s="1"/>
  <c r="J798" i="12" s="1"/>
  <c r="H799" i="12"/>
  <c r="I799" i="12" s="1"/>
  <c r="J799" i="12" s="1"/>
  <c r="H800" i="12"/>
  <c r="I800" i="12" s="1"/>
  <c r="J800" i="12" s="1"/>
  <c r="H801" i="12"/>
  <c r="I801" i="12" s="1"/>
  <c r="J801" i="12" s="1"/>
  <c r="H802" i="12"/>
  <c r="I802" i="12" s="1"/>
  <c r="J802" i="12" s="1"/>
  <c r="H761" i="12"/>
  <c r="I761" i="12" s="1"/>
  <c r="J761" i="12" s="1"/>
  <c r="H154" i="11"/>
  <c r="I154" i="11" s="1"/>
  <c r="J154" i="11" s="1"/>
  <c r="H155" i="11"/>
  <c r="H156" i="11"/>
  <c r="H157" i="11"/>
  <c r="H158" i="11"/>
  <c r="H159" i="11"/>
  <c r="H160" i="11"/>
  <c r="H123" i="16"/>
  <c r="H124" i="16"/>
  <c r="H125" i="16"/>
  <c r="I125" i="16" s="1"/>
  <c r="J125" i="16" s="1"/>
  <c r="H126" i="16"/>
  <c r="H127" i="16"/>
  <c r="I127" i="16" s="1"/>
  <c r="J127" i="16" s="1"/>
  <c r="H128" i="16"/>
  <c r="H129" i="16"/>
  <c r="I129" i="16" s="1"/>
  <c r="J129" i="16" s="1"/>
  <c r="H130" i="16"/>
  <c r="I130" i="16" s="1"/>
  <c r="J130" i="16" s="1"/>
  <c r="H131" i="16"/>
  <c r="I131" i="16" s="1"/>
  <c r="J131" i="16" s="1"/>
  <c r="H132" i="16"/>
  <c r="H133" i="16"/>
  <c r="I133" i="16" s="1"/>
  <c r="J133" i="16" s="1"/>
  <c r="H134" i="16"/>
  <c r="H122" i="16"/>
  <c r="I122" i="16" s="1"/>
  <c r="J122" i="16" s="1"/>
  <c r="H143" i="11"/>
  <c r="I143" i="11" s="1"/>
  <c r="J143" i="11" s="1"/>
  <c r="H144" i="11"/>
  <c r="H145" i="11"/>
  <c r="I145" i="11" s="1"/>
  <c r="J145" i="11" s="1"/>
  <c r="H146" i="11"/>
  <c r="H147" i="11"/>
  <c r="I147" i="11" s="1"/>
  <c r="J147" i="11" s="1"/>
  <c r="H148" i="11"/>
  <c r="H149" i="11"/>
  <c r="I149" i="11" s="1"/>
  <c r="J149" i="11" s="1"/>
  <c r="H150" i="11"/>
  <c r="H151" i="11"/>
  <c r="I151" i="11" s="1"/>
  <c r="J151" i="11" s="1"/>
  <c r="H152" i="11"/>
  <c r="H153" i="11"/>
  <c r="I153" i="11" s="1"/>
  <c r="J153" i="11" s="1"/>
  <c r="H142" i="11"/>
  <c r="I152" i="11"/>
  <c r="J152" i="11" s="1"/>
  <c r="I155" i="11"/>
  <c r="J155" i="11" s="1"/>
  <c r="I156" i="11"/>
  <c r="J156" i="11" s="1"/>
  <c r="I157" i="11"/>
  <c r="J157" i="11" s="1"/>
  <c r="I158" i="11"/>
  <c r="J158" i="11" s="1"/>
  <c r="I159" i="11"/>
  <c r="J159" i="11" s="1"/>
  <c r="I160" i="11"/>
  <c r="J160" i="11" s="1"/>
  <c r="I150" i="11"/>
  <c r="J150" i="11" s="1"/>
  <c r="I148" i="11"/>
  <c r="J148" i="11" s="1"/>
  <c r="I146" i="11"/>
  <c r="J146" i="11" s="1"/>
  <c r="I144" i="11"/>
  <c r="J144" i="11" s="1"/>
  <c r="I142" i="11"/>
  <c r="J142" i="11" s="1"/>
  <c r="H680" i="14"/>
  <c r="H681" i="14"/>
  <c r="I681" i="14" s="1"/>
  <c r="J681" i="14" s="1"/>
  <c r="H682" i="14"/>
  <c r="H683" i="14"/>
  <c r="I683" i="14" s="1"/>
  <c r="J683" i="14" s="1"/>
  <c r="H684" i="14"/>
  <c r="H685" i="14"/>
  <c r="H686" i="14"/>
  <c r="H687" i="14"/>
  <c r="I687" i="14" s="1"/>
  <c r="J687" i="14" s="1"/>
  <c r="H688" i="14"/>
  <c r="H689" i="14"/>
  <c r="I689" i="14" s="1"/>
  <c r="J689" i="14" s="1"/>
  <c r="H690" i="14"/>
  <c r="H691" i="14"/>
  <c r="I691" i="14" s="1"/>
  <c r="J691" i="14" s="1"/>
  <c r="H692" i="14"/>
  <c r="H693" i="14"/>
  <c r="H694" i="14"/>
  <c r="H695" i="14"/>
  <c r="I695" i="14" s="1"/>
  <c r="J695" i="14" s="1"/>
  <c r="H696" i="14"/>
  <c r="H697" i="14"/>
  <c r="H698" i="14"/>
  <c r="I698" i="14" s="1"/>
  <c r="J698" i="14" s="1"/>
  <c r="H699" i="14"/>
  <c r="I699" i="14" s="1"/>
  <c r="J699" i="14" s="1"/>
  <c r="H700" i="14"/>
  <c r="H701" i="14"/>
  <c r="H702" i="14"/>
  <c r="H703" i="14"/>
  <c r="I703" i="14" s="1"/>
  <c r="J703" i="14" s="1"/>
  <c r="H704" i="14"/>
  <c r="H705" i="14"/>
  <c r="H706" i="14"/>
  <c r="I706" i="14" s="1"/>
  <c r="J706" i="14" s="1"/>
  <c r="H707" i="14"/>
  <c r="I707" i="14" s="1"/>
  <c r="J707" i="14" s="1"/>
  <c r="H708" i="14"/>
  <c r="H709" i="14"/>
  <c r="H710" i="14"/>
  <c r="H711" i="14"/>
  <c r="I711" i="14" s="1"/>
  <c r="J711" i="14" s="1"/>
  <c r="H712" i="14"/>
  <c r="H679" i="14"/>
  <c r="I679" i="14" s="1"/>
  <c r="J679" i="14" s="1"/>
  <c r="I692" i="14"/>
  <c r="J692" i="14" s="1"/>
  <c r="I693" i="14"/>
  <c r="J693" i="14" s="1"/>
  <c r="I694" i="14"/>
  <c r="J694" i="14"/>
  <c r="I696" i="14"/>
  <c r="J696" i="14" s="1"/>
  <c r="I697" i="14"/>
  <c r="J697" i="14" s="1"/>
  <c r="I700" i="14"/>
  <c r="J700" i="14" s="1"/>
  <c r="I701" i="14"/>
  <c r="J701" i="14" s="1"/>
  <c r="I702" i="14"/>
  <c r="J702" i="14"/>
  <c r="I704" i="14"/>
  <c r="J704" i="14" s="1"/>
  <c r="I705" i="14"/>
  <c r="J705" i="14" s="1"/>
  <c r="I708" i="14"/>
  <c r="J708" i="14" s="1"/>
  <c r="I709" i="14"/>
  <c r="J709" i="14" s="1"/>
  <c r="I710" i="14"/>
  <c r="J710" i="14"/>
  <c r="I712" i="14"/>
  <c r="J712" i="14" s="1"/>
  <c r="I690" i="14"/>
  <c r="J690" i="14" s="1"/>
  <c r="I688" i="14"/>
  <c r="J688" i="14" s="1"/>
  <c r="I686" i="14"/>
  <c r="J686" i="14" s="1"/>
  <c r="I685" i="14"/>
  <c r="J685" i="14" s="1"/>
  <c r="I684" i="14"/>
  <c r="J684" i="14" s="1"/>
  <c r="I682" i="14"/>
  <c r="J682" i="14" s="1"/>
  <c r="I680" i="14"/>
  <c r="J680" i="14" s="1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183" i="15"/>
  <c r="I190" i="15"/>
  <c r="J190" i="15" s="1"/>
  <c r="I191" i="15"/>
  <c r="J191" i="15" s="1"/>
  <c r="I192" i="15"/>
  <c r="J192" i="15" s="1"/>
  <c r="I193" i="15"/>
  <c r="J193" i="15" s="1"/>
  <c r="I194" i="15"/>
  <c r="J194" i="15" s="1"/>
  <c r="I195" i="15"/>
  <c r="J195" i="15" s="1"/>
  <c r="I196" i="15"/>
  <c r="J196" i="15" s="1"/>
  <c r="I197" i="15"/>
  <c r="J197" i="15" s="1"/>
  <c r="I198" i="15"/>
  <c r="J198" i="15" s="1"/>
  <c r="I199" i="15"/>
  <c r="J199" i="15" s="1"/>
  <c r="I200" i="15"/>
  <c r="J200" i="15" s="1"/>
  <c r="I189" i="15"/>
  <c r="J189" i="15" s="1"/>
  <c r="I188" i="15"/>
  <c r="J188" i="15" s="1"/>
  <c r="I187" i="15"/>
  <c r="J187" i="15" s="1"/>
  <c r="I186" i="15"/>
  <c r="J186" i="15" s="1"/>
  <c r="I185" i="15"/>
  <c r="J185" i="15" s="1"/>
  <c r="I184" i="15"/>
  <c r="J184" i="15" s="1"/>
  <c r="I183" i="15"/>
  <c r="J183" i="15" s="1"/>
  <c r="K183" i="15" s="1"/>
  <c r="H537" i="9"/>
  <c r="I537" i="9" s="1"/>
  <c r="J537" i="9" s="1"/>
  <c r="H538" i="9"/>
  <c r="I538" i="9" s="1"/>
  <c r="J538" i="9" s="1"/>
  <c r="H539" i="9"/>
  <c r="I539" i="9" s="1"/>
  <c r="J539" i="9" s="1"/>
  <c r="H540" i="9"/>
  <c r="I540" i="9" s="1"/>
  <c r="J540" i="9" s="1"/>
  <c r="H541" i="9"/>
  <c r="I541" i="9" s="1"/>
  <c r="J541" i="9" s="1"/>
  <c r="H542" i="9"/>
  <c r="I542" i="9" s="1"/>
  <c r="J542" i="9" s="1"/>
  <c r="H543" i="9"/>
  <c r="I543" i="9" s="1"/>
  <c r="J543" i="9" s="1"/>
  <c r="H544" i="9"/>
  <c r="I544" i="9" s="1"/>
  <c r="J544" i="9" s="1"/>
  <c r="H545" i="9"/>
  <c r="I545" i="9" s="1"/>
  <c r="J545" i="9" s="1"/>
  <c r="H546" i="9"/>
  <c r="I546" i="9" s="1"/>
  <c r="J546" i="9" s="1"/>
  <c r="H547" i="9"/>
  <c r="I547" i="9" s="1"/>
  <c r="J547" i="9" s="1"/>
  <c r="H548" i="9"/>
  <c r="I548" i="9" s="1"/>
  <c r="J548" i="9" s="1"/>
  <c r="H549" i="9"/>
  <c r="I549" i="9" s="1"/>
  <c r="J549" i="9" s="1"/>
  <c r="H550" i="9"/>
  <c r="I550" i="9" s="1"/>
  <c r="J550" i="9" s="1"/>
  <c r="H551" i="9"/>
  <c r="I551" i="9" s="1"/>
  <c r="J551" i="9" s="1"/>
  <c r="H552" i="9"/>
  <c r="I552" i="9" s="1"/>
  <c r="J552" i="9" s="1"/>
  <c r="H553" i="9"/>
  <c r="I553" i="9" s="1"/>
  <c r="J553" i="9" s="1"/>
  <c r="H554" i="9"/>
  <c r="I554" i="9" s="1"/>
  <c r="J554" i="9" s="1"/>
  <c r="H555" i="9"/>
  <c r="I555" i="9" s="1"/>
  <c r="J555" i="9" s="1"/>
  <c r="H556" i="9"/>
  <c r="I556" i="9" s="1"/>
  <c r="J556" i="9" s="1"/>
  <c r="H557" i="9"/>
  <c r="I557" i="9" s="1"/>
  <c r="J557" i="9" s="1"/>
  <c r="H558" i="9"/>
  <c r="I558" i="9" s="1"/>
  <c r="J558" i="9" s="1"/>
  <c r="H559" i="9"/>
  <c r="I559" i="9" s="1"/>
  <c r="J559" i="9" s="1"/>
  <c r="H560" i="9"/>
  <c r="I560" i="9" s="1"/>
  <c r="J560" i="9" s="1"/>
  <c r="H561" i="9"/>
  <c r="I561" i="9" s="1"/>
  <c r="J561" i="9" s="1"/>
  <c r="H562" i="9"/>
  <c r="I562" i="9" s="1"/>
  <c r="J562" i="9" s="1"/>
  <c r="H563" i="9"/>
  <c r="I563" i="9" s="1"/>
  <c r="J563" i="9" s="1"/>
  <c r="H564" i="9"/>
  <c r="I564" i="9" s="1"/>
  <c r="J564" i="9" s="1"/>
  <c r="H565" i="9"/>
  <c r="I565" i="9" s="1"/>
  <c r="J565" i="9" s="1"/>
  <c r="H566" i="9"/>
  <c r="I566" i="9" s="1"/>
  <c r="J566" i="9" s="1"/>
  <c r="H536" i="9"/>
  <c r="I536" i="9" s="1"/>
  <c r="J536" i="9" s="1"/>
  <c r="H956" i="18"/>
  <c r="H957" i="18"/>
  <c r="H958" i="18"/>
  <c r="H959" i="18"/>
  <c r="I959" i="18" s="1"/>
  <c r="J959" i="18" s="1"/>
  <c r="H960" i="18"/>
  <c r="H961" i="18"/>
  <c r="I961" i="18" s="1"/>
  <c r="J961" i="18" s="1"/>
  <c r="H962" i="18"/>
  <c r="H963" i="18"/>
  <c r="I963" i="18" s="1"/>
  <c r="J963" i="18" s="1"/>
  <c r="H964" i="18"/>
  <c r="H965" i="18"/>
  <c r="I965" i="18" s="1"/>
  <c r="J965" i="18" s="1"/>
  <c r="H966" i="18"/>
  <c r="H955" i="18"/>
  <c r="I955" i="18" s="1"/>
  <c r="J955" i="18" s="1"/>
  <c r="K955" i="18" s="1"/>
  <c r="I962" i="18"/>
  <c r="J962" i="18" s="1"/>
  <c r="I964" i="18"/>
  <c r="J964" i="18" s="1"/>
  <c r="I966" i="18"/>
  <c r="J966" i="18" s="1"/>
  <c r="I960" i="18"/>
  <c r="J960" i="18" s="1"/>
  <c r="I958" i="18"/>
  <c r="J958" i="18" s="1"/>
  <c r="I957" i="18"/>
  <c r="J957" i="18" s="1"/>
  <c r="I956" i="18"/>
  <c r="J956" i="18" s="1"/>
  <c r="I126" i="16"/>
  <c r="J126" i="16" s="1"/>
  <c r="I134" i="16"/>
  <c r="J134" i="16" s="1"/>
  <c r="I128" i="16"/>
  <c r="J128" i="16" s="1"/>
  <c r="I132" i="16"/>
  <c r="J132" i="16" s="1"/>
  <c r="I124" i="16"/>
  <c r="J124" i="16" s="1"/>
  <c r="I123" i="16"/>
  <c r="J123" i="16" s="1"/>
  <c r="H119" i="17"/>
  <c r="I119" i="17" s="1"/>
  <c r="J119" i="17" s="1"/>
  <c r="H120" i="17"/>
  <c r="I120" i="17" s="1"/>
  <c r="J120" i="17" s="1"/>
  <c r="H121" i="17"/>
  <c r="I121" i="17" s="1"/>
  <c r="J121" i="17" s="1"/>
  <c r="H122" i="17"/>
  <c r="I122" i="17" s="1"/>
  <c r="J122" i="17" s="1"/>
  <c r="H123" i="17"/>
  <c r="H124" i="17"/>
  <c r="I124" i="17" s="1"/>
  <c r="J124" i="17" s="1"/>
  <c r="H125" i="17"/>
  <c r="I125" i="17" s="1"/>
  <c r="J125" i="17" s="1"/>
  <c r="H126" i="17"/>
  <c r="I126" i="17" s="1"/>
  <c r="J126" i="17" s="1"/>
  <c r="H127" i="17"/>
  <c r="I127" i="17" s="1"/>
  <c r="J127" i="17" s="1"/>
  <c r="H118" i="17"/>
  <c r="I118" i="17" s="1"/>
  <c r="J118" i="17" s="1"/>
  <c r="I123" i="17"/>
  <c r="J123" i="17" s="1"/>
  <c r="H451" i="2"/>
  <c r="I451" i="2" s="1"/>
  <c r="J451" i="2" s="1"/>
  <c r="H452" i="2"/>
  <c r="I452" i="2" s="1"/>
  <c r="J452" i="2" s="1"/>
  <c r="H453" i="2"/>
  <c r="I453" i="2" s="1"/>
  <c r="J453" i="2" s="1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26" i="2"/>
  <c r="K536" i="9" l="1"/>
  <c r="K142" i="11"/>
  <c r="K131" i="19"/>
  <c r="K122" i="16"/>
  <c r="K118" i="17"/>
  <c r="K679" i="14"/>
  <c r="K761" i="12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26" i="2"/>
  <c r="J426" i="2" s="1"/>
  <c r="K426" i="2" l="1"/>
</calcChain>
</file>

<file path=xl/sharedStrings.xml><?xml version="1.0" encoding="utf-8"?>
<sst xmlns="http://schemas.openxmlformats.org/spreadsheetml/2006/main" count="14175" uniqueCount="59">
  <si>
    <t>No</t>
  </si>
  <si>
    <t>Organization</t>
  </si>
  <si>
    <t>Platform</t>
  </si>
  <si>
    <t>Type</t>
  </si>
  <si>
    <t>Language</t>
  </si>
  <si>
    <t>Size (CPF)</t>
  </si>
  <si>
    <t>Effort (hrs)</t>
  </si>
  <si>
    <t xml:space="preserve">Business </t>
  </si>
  <si>
    <t>Stand alone</t>
  </si>
  <si>
    <t>Maintenance</t>
  </si>
  <si>
    <t>C</t>
  </si>
  <si>
    <t>Real time</t>
  </si>
  <si>
    <t>New development</t>
  </si>
  <si>
    <t>Business</t>
  </si>
  <si>
    <t>New Development</t>
  </si>
  <si>
    <t>WEB</t>
  </si>
  <si>
    <t>Java</t>
  </si>
  <si>
    <t>Batch</t>
  </si>
  <si>
    <t>Statistics Description</t>
  </si>
  <si>
    <t>Statistics</t>
  </si>
  <si>
    <t>Variable</t>
  </si>
  <si>
    <t>N</t>
  </si>
  <si>
    <t>Mean</t>
  </si>
  <si>
    <t>StDev</t>
  </si>
  <si>
    <t>Minimum</t>
  </si>
  <si>
    <t>Median</t>
  </si>
  <si>
    <t>Maximum</t>
  </si>
  <si>
    <t>Effort (hres)</t>
  </si>
  <si>
    <t>Outlier detection</t>
  </si>
  <si>
    <t>Fits and Diagnostics for Unusual Observations</t>
  </si>
  <si>
    <t>Obs</t>
  </si>
  <si>
    <t>Outlier</t>
  </si>
  <si>
    <t>Test de Grubbs</t>
  </si>
  <si>
    <t># of values:</t>
  </si>
  <si>
    <t>Outlier detected?</t>
  </si>
  <si>
    <t>R square</t>
  </si>
  <si>
    <t>Model Summary</t>
  </si>
  <si>
    <t>R-sq(adj)</t>
  </si>
  <si>
    <t>Regression Equation</t>
  </si>
  <si>
    <t>Effort (hrs) = −123.29 + 8.2976 Size (CPF)</t>
  </si>
  <si>
    <t>MMRE</t>
  </si>
  <si>
    <t>Estimated effort(hrs)</t>
  </si>
  <si>
    <t>RE</t>
  </si>
  <si>
    <t>MRE</t>
  </si>
  <si>
    <t>outlier</t>
  </si>
  <si>
    <t># of rows w/o data:</t>
  </si>
  <si>
    <t>Effort (hrs) = 119.88 + 0.6580 Size (CPF)</t>
  </si>
  <si>
    <t>Effort (hrs) = 146.17 + 0.5871 Size (CPF)</t>
  </si>
  <si>
    <t>R-Square</t>
  </si>
  <si>
    <t>Effort (hrs) = 36.32 + 1.3009 Size (CPF)</t>
  </si>
  <si>
    <t>R Square</t>
  </si>
  <si>
    <t>Effort (hrs) = 98.65 + 0.8636 Size (CPF)</t>
  </si>
  <si>
    <t>Effort (hrs) = −148.22 + 8.5974 Size (CPF)</t>
  </si>
  <si>
    <t>Effort (hrs) = 32.65 + 1.3481 Size (CPF)</t>
  </si>
  <si>
    <t>Effort (hrs) = −213.98 + 9.1299 Size (CPF)</t>
  </si>
  <si>
    <t>Effort (hrs) = 57.43 + 1.1332 Size (CPF)</t>
  </si>
  <si>
    <t>Effort (hrs) = 600.4 + 1.038 Size (CPF)</t>
  </si>
  <si>
    <t>After eliminating outliers</t>
  </si>
  <si>
    <t xml:space="preserve">Original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</si>
</sst>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MS Sans Serif"/>
      <family val="2"/>
    </font>
    <font>
      <sz val="16"/>
      <color rgb="FF000000"/>
      <name val="Helvetica"/>
      <family val="2"/>
    </font>
    <font>
      <sz val="13"/>
      <color rgb="FF383838"/>
      <name val="Helvetica Neue"/>
      <family val="2"/>
    </font>
    <font>
      <sz val="16"/>
      <color rgb="FF383838"/>
      <name val="Helvetica Neue"/>
      <family val="2"/>
    </font>
    <font>
      <i/>
      <sz val="13"/>
      <color rgb="FF383838"/>
      <name val="Helvetica Neue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0" fillId="2" borderId="0" xfId="0" applyFill="1"/>
    <xf numFmtId="0" fontId="6" fillId="0" borderId="0" xfId="0" applyFont="1"/>
    <xf numFmtId="0" fontId="5" fillId="0" borderId="0" xfId="0" applyFont="1"/>
    <xf numFmtId="10" fontId="5" fillId="0" borderId="0" xfId="0" applyNumberFormat="1" applyFont="1"/>
    <xf numFmtId="0" fontId="7" fillId="0" borderId="0" xfId="0" applyFont="1"/>
    <xf numFmtId="2" fontId="1" fillId="3" borderId="1" xfId="0" applyNumberFormat="1" applyFont="1" applyFill="1" applyBorder="1" applyAlignment="1">
      <alignment horizontal="center"/>
    </xf>
    <xf numFmtId="10" fontId="0" fillId="0" borderId="1" xfId="0" applyNumberFormat="1" applyBorder="1"/>
    <xf numFmtId="0" fontId="0" fillId="0" borderId="0" xfId="0" applyAlignment="1">
      <alignment wrapText="1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2" borderId="0" xfId="0" applyFont="1" applyFill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ill="1" applyBorder="1"/>
    <xf numFmtId="9" fontId="0" fillId="0" borderId="0" xfId="0" applyNumberFormat="1" applyFill="1" applyBorder="1"/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'Business-Web-New-Java '!$G$21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'Business-Web-New-Java '!$F$22:$F$58</c:f>
              <c:numCache>
                <c:formatCode>General</c:formatCode>
                <c:ptCount val="37"/>
                <c:pt idx="0">
                  <c:v>52</c:v>
                </c:pt>
                <c:pt idx="1">
                  <c:v>61</c:v>
                </c:pt>
                <c:pt idx="2">
                  <c:v>68</c:v>
                </c:pt>
                <c:pt idx="3">
                  <c:v>70</c:v>
                </c:pt>
                <c:pt idx="4">
                  <c:v>72</c:v>
                </c:pt>
                <c:pt idx="5">
                  <c:v>73</c:v>
                </c:pt>
                <c:pt idx="6">
                  <c:v>74</c:v>
                </c:pt>
                <c:pt idx="7">
                  <c:v>79</c:v>
                </c:pt>
                <c:pt idx="8">
                  <c:v>81</c:v>
                </c:pt>
                <c:pt idx="9">
                  <c:v>83</c:v>
                </c:pt>
                <c:pt idx="10">
                  <c:v>84</c:v>
                </c:pt>
                <c:pt idx="11">
                  <c:v>85</c:v>
                </c:pt>
                <c:pt idx="12">
                  <c:v>90</c:v>
                </c:pt>
                <c:pt idx="13">
                  <c:v>92</c:v>
                </c:pt>
                <c:pt idx="14">
                  <c:v>100</c:v>
                </c:pt>
                <c:pt idx="15">
                  <c:v>102</c:v>
                </c:pt>
                <c:pt idx="16">
                  <c:v>105</c:v>
                </c:pt>
                <c:pt idx="17">
                  <c:v>108</c:v>
                </c:pt>
                <c:pt idx="18">
                  <c:v>114</c:v>
                </c:pt>
                <c:pt idx="19">
                  <c:v>115</c:v>
                </c:pt>
                <c:pt idx="20">
                  <c:v>117</c:v>
                </c:pt>
                <c:pt idx="21">
                  <c:v>117</c:v>
                </c:pt>
                <c:pt idx="22">
                  <c:v>118</c:v>
                </c:pt>
                <c:pt idx="23">
                  <c:v>125</c:v>
                </c:pt>
                <c:pt idx="24">
                  <c:v>127</c:v>
                </c:pt>
                <c:pt idx="25">
                  <c:v>135</c:v>
                </c:pt>
                <c:pt idx="26">
                  <c:v>136</c:v>
                </c:pt>
                <c:pt idx="27">
                  <c:v>143</c:v>
                </c:pt>
                <c:pt idx="28">
                  <c:v>153</c:v>
                </c:pt>
                <c:pt idx="29">
                  <c:v>156</c:v>
                </c:pt>
                <c:pt idx="30">
                  <c:v>162</c:v>
                </c:pt>
                <c:pt idx="31">
                  <c:v>162</c:v>
                </c:pt>
                <c:pt idx="32">
                  <c:v>183</c:v>
                </c:pt>
                <c:pt idx="33">
                  <c:v>193</c:v>
                </c:pt>
                <c:pt idx="34">
                  <c:v>209</c:v>
                </c:pt>
                <c:pt idx="35">
                  <c:v>310</c:v>
                </c:pt>
                <c:pt idx="36">
                  <c:v>849</c:v>
                </c:pt>
              </c:numCache>
            </c:numRef>
          </c:xVal>
          <c:yVal>
            <c:numRef>
              <c:f>'Business-Web-New-Java '!$G$22:$G$58</c:f>
              <c:numCache>
                <c:formatCode>0</c:formatCode>
                <c:ptCount val="37"/>
                <c:pt idx="0">
                  <c:v>274.09199999999998</c:v>
                </c:pt>
                <c:pt idx="1">
                  <c:v>336.84199999999998</c:v>
                </c:pt>
                <c:pt idx="2">
                  <c:v>512.04</c:v>
                </c:pt>
                <c:pt idx="3">
                  <c:v>379.512</c:v>
                </c:pt>
                <c:pt idx="4">
                  <c:v>397.58399999999995</c:v>
                </c:pt>
                <c:pt idx="5">
                  <c:v>659.62799999999993</c:v>
                </c:pt>
                <c:pt idx="6">
                  <c:v>482.92399999999998</c:v>
                </c:pt>
                <c:pt idx="7">
                  <c:v>475.89599999999996</c:v>
                </c:pt>
                <c:pt idx="8">
                  <c:v>691.25399999999991</c:v>
                </c:pt>
                <c:pt idx="9">
                  <c:v>466.6592</c:v>
                </c:pt>
                <c:pt idx="10">
                  <c:v>421.67999999999995</c:v>
                </c:pt>
                <c:pt idx="11">
                  <c:v>725.39</c:v>
                </c:pt>
                <c:pt idx="12">
                  <c:v>406.61999999999995</c:v>
                </c:pt>
                <c:pt idx="13">
                  <c:v>831.31200000000001</c:v>
                </c:pt>
                <c:pt idx="14">
                  <c:v>702.79999999999984</c:v>
                </c:pt>
                <c:pt idx="15">
                  <c:v>921.67199999999991</c:v>
                </c:pt>
                <c:pt idx="16">
                  <c:v>2196.2953367875648</c:v>
                </c:pt>
                <c:pt idx="17">
                  <c:v>650.59199999999998</c:v>
                </c:pt>
                <c:pt idx="18">
                  <c:v>502</c:v>
                </c:pt>
                <c:pt idx="19">
                  <c:v>692.75999999999988</c:v>
                </c:pt>
                <c:pt idx="20">
                  <c:v>728.30159999999989</c:v>
                </c:pt>
                <c:pt idx="21">
                  <c:v>998.47799999999984</c:v>
                </c:pt>
                <c:pt idx="22">
                  <c:v>1795.0673575129535</c:v>
                </c:pt>
                <c:pt idx="23">
                  <c:v>1004</c:v>
                </c:pt>
                <c:pt idx="24">
                  <c:v>1020.064</c:v>
                </c:pt>
                <c:pt idx="25" formatCode="General">
                  <c:v>1053</c:v>
                </c:pt>
                <c:pt idx="26">
                  <c:v>1024.08</c:v>
                </c:pt>
                <c:pt idx="27">
                  <c:v>861.4319999999999</c:v>
                </c:pt>
                <c:pt idx="28">
                  <c:v>1228.896</c:v>
                </c:pt>
                <c:pt idx="29" formatCode="General">
                  <c:v>1025</c:v>
                </c:pt>
                <c:pt idx="30">
                  <c:v>1305</c:v>
                </c:pt>
                <c:pt idx="31">
                  <c:v>1903.7602072538862</c:v>
                </c:pt>
                <c:pt idx="32" formatCode="General">
                  <c:v>460</c:v>
                </c:pt>
                <c:pt idx="33">
                  <c:v>734</c:v>
                </c:pt>
                <c:pt idx="34">
                  <c:v>1993.4419999999996</c:v>
                </c:pt>
                <c:pt idx="35">
                  <c:v>933.7199999999998</c:v>
                </c:pt>
                <c:pt idx="36" formatCode="General">
                  <c:v>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FC-AC47-A072-287148F11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252368"/>
        <c:axId val="722023376"/>
      </c:scatterChart>
      <c:valAx>
        <c:axId val="72225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22023376"/>
        <c:crosses val="autoZero"/>
        <c:crossBetween val="midCat"/>
        <c:majorUnit val="50"/>
        <c:minorUnit val="50"/>
      </c:valAx>
      <c:valAx>
        <c:axId val="7220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2225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'Business-Web-New-Java '!$G$368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'Business-Web-New-Java '!$F$369:$F$396</c:f>
              <c:numCache>
                <c:formatCode>General</c:formatCode>
                <c:ptCount val="28"/>
                <c:pt idx="0">
                  <c:v>52</c:v>
                </c:pt>
                <c:pt idx="1">
                  <c:v>61</c:v>
                </c:pt>
                <c:pt idx="2">
                  <c:v>68</c:v>
                </c:pt>
                <c:pt idx="3">
                  <c:v>70</c:v>
                </c:pt>
                <c:pt idx="4">
                  <c:v>72</c:v>
                </c:pt>
                <c:pt idx="5">
                  <c:v>73</c:v>
                </c:pt>
                <c:pt idx="6">
                  <c:v>74</c:v>
                </c:pt>
                <c:pt idx="7">
                  <c:v>79</c:v>
                </c:pt>
                <c:pt idx="8">
                  <c:v>81</c:v>
                </c:pt>
                <c:pt idx="9">
                  <c:v>83</c:v>
                </c:pt>
                <c:pt idx="10">
                  <c:v>84</c:v>
                </c:pt>
                <c:pt idx="11">
                  <c:v>85</c:v>
                </c:pt>
                <c:pt idx="12">
                  <c:v>90</c:v>
                </c:pt>
                <c:pt idx="13">
                  <c:v>92</c:v>
                </c:pt>
                <c:pt idx="14">
                  <c:v>100</c:v>
                </c:pt>
                <c:pt idx="15">
                  <c:v>102</c:v>
                </c:pt>
                <c:pt idx="16">
                  <c:v>108</c:v>
                </c:pt>
                <c:pt idx="17">
                  <c:v>115</c:v>
                </c:pt>
                <c:pt idx="18">
                  <c:v>117</c:v>
                </c:pt>
                <c:pt idx="19">
                  <c:v>117</c:v>
                </c:pt>
                <c:pt idx="20">
                  <c:v>125</c:v>
                </c:pt>
                <c:pt idx="21">
                  <c:v>127</c:v>
                </c:pt>
                <c:pt idx="22">
                  <c:v>135</c:v>
                </c:pt>
                <c:pt idx="23">
                  <c:v>136</c:v>
                </c:pt>
                <c:pt idx="24">
                  <c:v>143</c:v>
                </c:pt>
                <c:pt idx="25">
                  <c:v>153</c:v>
                </c:pt>
                <c:pt idx="26">
                  <c:v>156</c:v>
                </c:pt>
                <c:pt idx="27">
                  <c:v>162</c:v>
                </c:pt>
              </c:numCache>
            </c:numRef>
          </c:xVal>
          <c:yVal>
            <c:numRef>
              <c:f>'Business-Web-New-Java '!$G$369:$G$396</c:f>
              <c:numCache>
                <c:formatCode>0</c:formatCode>
                <c:ptCount val="28"/>
                <c:pt idx="0">
                  <c:v>274.09199999999998</c:v>
                </c:pt>
                <c:pt idx="1">
                  <c:v>336.84199999999998</c:v>
                </c:pt>
                <c:pt idx="2">
                  <c:v>512.04</c:v>
                </c:pt>
                <c:pt idx="3">
                  <c:v>379.512</c:v>
                </c:pt>
                <c:pt idx="4">
                  <c:v>397.58399999999995</c:v>
                </c:pt>
                <c:pt idx="5">
                  <c:v>659.62799999999993</c:v>
                </c:pt>
                <c:pt idx="6">
                  <c:v>482.92399999999998</c:v>
                </c:pt>
                <c:pt idx="7">
                  <c:v>475.89599999999996</c:v>
                </c:pt>
                <c:pt idx="8">
                  <c:v>691.25399999999991</c:v>
                </c:pt>
                <c:pt idx="9">
                  <c:v>466.6592</c:v>
                </c:pt>
                <c:pt idx="10">
                  <c:v>421.67999999999995</c:v>
                </c:pt>
                <c:pt idx="11">
                  <c:v>725.39</c:v>
                </c:pt>
                <c:pt idx="12">
                  <c:v>406.61999999999995</c:v>
                </c:pt>
                <c:pt idx="13">
                  <c:v>831.31200000000001</c:v>
                </c:pt>
                <c:pt idx="14">
                  <c:v>702.79999999999984</c:v>
                </c:pt>
                <c:pt idx="15">
                  <c:v>921.67199999999991</c:v>
                </c:pt>
                <c:pt idx="16">
                  <c:v>650.59199999999998</c:v>
                </c:pt>
                <c:pt idx="17">
                  <c:v>692.75999999999988</c:v>
                </c:pt>
                <c:pt idx="18">
                  <c:v>728.30159999999989</c:v>
                </c:pt>
                <c:pt idx="19">
                  <c:v>998.47799999999984</c:v>
                </c:pt>
                <c:pt idx="20">
                  <c:v>1004</c:v>
                </c:pt>
                <c:pt idx="21">
                  <c:v>1020.064</c:v>
                </c:pt>
                <c:pt idx="22" formatCode="General">
                  <c:v>1053</c:v>
                </c:pt>
                <c:pt idx="23">
                  <c:v>1024.08</c:v>
                </c:pt>
                <c:pt idx="24">
                  <c:v>861.4319999999999</c:v>
                </c:pt>
                <c:pt idx="25">
                  <c:v>1228.896</c:v>
                </c:pt>
                <c:pt idx="26" formatCode="General">
                  <c:v>1025</c:v>
                </c:pt>
                <c:pt idx="27">
                  <c:v>1305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1E-D641-B282-A2BBCB6E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027984"/>
        <c:axId val="789192784"/>
      </c:scatterChart>
      <c:valAx>
        <c:axId val="45202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89192784"/>
        <c:crosses val="autoZero"/>
        <c:crossBetween val="midCat"/>
        <c:majorUnit val="50"/>
        <c:minorUnit val="50"/>
      </c:valAx>
      <c:valAx>
        <c:axId val="78919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5202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'Business-Web-New-Java '!$G$368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'Business-Web-New-Java '!$F$369:$F$396</c:f>
              <c:numCache>
                <c:formatCode>General</c:formatCode>
                <c:ptCount val="28"/>
                <c:pt idx="0">
                  <c:v>52</c:v>
                </c:pt>
                <c:pt idx="1">
                  <c:v>61</c:v>
                </c:pt>
                <c:pt idx="2">
                  <c:v>68</c:v>
                </c:pt>
                <c:pt idx="3">
                  <c:v>70</c:v>
                </c:pt>
                <c:pt idx="4">
                  <c:v>72</c:v>
                </c:pt>
                <c:pt idx="5">
                  <c:v>73</c:v>
                </c:pt>
                <c:pt idx="6">
                  <c:v>74</c:v>
                </c:pt>
                <c:pt idx="7">
                  <c:v>79</c:v>
                </c:pt>
                <c:pt idx="8">
                  <c:v>81</c:v>
                </c:pt>
                <c:pt idx="9">
                  <c:v>83</c:v>
                </c:pt>
                <c:pt idx="10">
                  <c:v>84</c:v>
                </c:pt>
                <c:pt idx="11">
                  <c:v>85</c:v>
                </c:pt>
                <c:pt idx="12">
                  <c:v>90</c:v>
                </c:pt>
                <c:pt idx="13">
                  <c:v>92</c:v>
                </c:pt>
                <c:pt idx="14">
                  <c:v>100</c:v>
                </c:pt>
                <c:pt idx="15">
                  <c:v>102</c:v>
                </c:pt>
                <c:pt idx="16">
                  <c:v>108</c:v>
                </c:pt>
                <c:pt idx="17">
                  <c:v>115</c:v>
                </c:pt>
                <c:pt idx="18">
                  <c:v>117</c:v>
                </c:pt>
                <c:pt idx="19">
                  <c:v>117</c:v>
                </c:pt>
                <c:pt idx="20">
                  <c:v>125</c:v>
                </c:pt>
                <c:pt idx="21">
                  <c:v>127</c:v>
                </c:pt>
                <c:pt idx="22">
                  <c:v>135</c:v>
                </c:pt>
                <c:pt idx="23">
                  <c:v>136</c:v>
                </c:pt>
                <c:pt idx="24">
                  <c:v>143</c:v>
                </c:pt>
                <c:pt idx="25">
                  <c:v>153</c:v>
                </c:pt>
                <c:pt idx="26">
                  <c:v>156</c:v>
                </c:pt>
                <c:pt idx="27">
                  <c:v>162</c:v>
                </c:pt>
              </c:numCache>
            </c:numRef>
          </c:xVal>
          <c:yVal>
            <c:numRef>
              <c:f>'Business-Web-New-Java '!$G$369:$G$396</c:f>
              <c:numCache>
                <c:formatCode>0</c:formatCode>
                <c:ptCount val="28"/>
                <c:pt idx="0">
                  <c:v>274.09199999999998</c:v>
                </c:pt>
                <c:pt idx="1">
                  <c:v>336.84199999999998</c:v>
                </c:pt>
                <c:pt idx="2">
                  <c:v>512.04</c:v>
                </c:pt>
                <c:pt idx="3">
                  <c:v>379.512</c:v>
                </c:pt>
                <c:pt idx="4">
                  <c:v>397.58399999999995</c:v>
                </c:pt>
                <c:pt idx="5">
                  <c:v>659.62799999999993</c:v>
                </c:pt>
                <c:pt idx="6">
                  <c:v>482.92399999999998</c:v>
                </c:pt>
                <c:pt idx="7">
                  <c:v>475.89599999999996</c:v>
                </c:pt>
                <c:pt idx="8">
                  <c:v>691.25399999999991</c:v>
                </c:pt>
                <c:pt idx="9">
                  <c:v>466.6592</c:v>
                </c:pt>
                <c:pt idx="10">
                  <c:v>421.67999999999995</c:v>
                </c:pt>
                <c:pt idx="11">
                  <c:v>725.39</c:v>
                </c:pt>
                <c:pt idx="12">
                  <c:v>406.61999999999995</c:v>
                </c:pt>
                <c:pt idx="13">
                  <c:v>831.31200000000001</c:v>
                </c:pt>
                <c:pt idx="14">
                  <c:v>702.79999999999984</c:v>
                </c:pt>
                <c:pt idx="15">
                  <c:v>921.67199999999991</c:v>
                </c:pt>
                <c:pt idx="16">
                  <c:v>650.59199999999998</c:v>
                </c:pt>
                <c:pt idx="17">
                  <c:v>692.75999999999988</c:v>
                </c:pt>
                <c:pt idx="18">
                  <c:v>728.30159999999989</c:v>
                </c:pt>
                <c:pt idx="19">
                  <c:v>998.47799999999984</c:v>
                </c:pt>
                <c:pt idx="20">
                  <c:v>1004</c:v>
                </c:pt>
                <c:pt idx="21">
                  <c:v>1020.064</c:v>
                </c:pt>
                <c:pt idx="22" formatCode="General">
                  <c:v>1053</c:v>
                </c:pt>
                <c:pt idx="23">
                  <c:v>1024.08</c:v>
                </c:pt>
                <c:pt idx="24">
                  <c:v>861.4319999999999</c:v>
                </c:pt>
                <c:pt idx="25">
                  <c:v>1228.896</c:v>
                </c:pt>
                <c:pt idx="26" formatCode="General">
                  <c:v>1025</c:v>
                </c:pt>
                <c:pt idx="27">
                  <c:v>1305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03-0C45-ABD1-2CA91F311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027984"/>
        <c:axId val="789192784"/>
      </c:scatterChart>
      <c:valAx>
        <c:axId val="45202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89192784"/>
        <c:crosses val="autoZero"/>
        <c:crossBetween val="midCat"/>
        <c:majorUnit val="50"/>
        <c:minorUnit val="50"/>
      </c:valAx>
      <c:valAx>
        <c:axId val="78919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5202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time-Maintenance-Java'!$G$21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time-Maintenance-Java'!$F$22:$F$33</c:f>
              <c:numCache>
                <c:formatCode>General</c:formatCode>
                <c:ptCount val="12"/>
                <c:pt idx="0">
                  <c:v>51</c:v>
                </c:pt>
                <c:pt idx="1">
                  <c:v>79</c:v>
                </c:pt>
                <c:pt idx="2">
                  <c:v>80</c:v>
                </c:pt>
                <c:pt idx="3">
                  <c:v>81</c:v>
                </c:pt>
                <c:pt idx="4">
                  <c:v>87</c:v>
                </c:pt>
                <c:pt idx="5">
                  <c:v>90</c:v>
                </c:pt>
                <c:pt idx="6">
                  <c:v>102</c:v>
                </c:pt>
                <c:pt idx="7">
                  <c:v>136</c:v>
                </c:pt>
                <c:pt idx="8">
                  <c:v>148</c:v>
                </c:pt>
                <c:pt idx="9">
                  <c:v>152</c:v>
                </c:pt>
                <c:pt idx="10">
                  <c:v>160</c:v>
                </c:pt>
                <c:pt idx="11">
                  <c:v>169</c:v>
                </c:pt>
              </c:numCache>
            </c:numRef>
          </c:xVal>
          <c:yVal>
            <c:numRef>
              <c:f>'Real time-Maintenance-Java'!$G$22:$G$33</c:f>
              <c:numCache>
                <c:formatCode>General</c:formatCode>
                <c:ptCount val="12"/>
                <c:pt idx="0">
                  <c:v>52</c:v>
                </c:pt>
                <c:pt idx="1">
                  <c:v>142</c:v>
                </c:pt>
                <c:pt idx="2">
                  <c:v>260</c:v>
                </c:pt>
                <c:pt idx="3">
                  <c:v>190</c:v>
                </c:pt>
                <c:pt idx="4">
                  <c:v>170</c:v>
                </c:pt>
                <c:pt idx="5">
                  <c:v>189</c:v>
                </c:pt>
                <c:pt idx="6">
                  <c:v>200</c:v>
                </c:pt>
                <c:pt idx="7">
                  <c:v>220</c:v>
                </c:pt>
                <c:pt idx="8">
                  <c:v>186</c:v>
                </c:pt>
                <c:pt idx="9">
                  <c:v>237</c:v>
                </c:pt>
                <c:pt idx="10">
                  <c:v>242</c:v>
                </c:pt>
                <c:pt idx="11">
                  <c:v>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E2-1242-8148-B7C34E31E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031728"/>
        <c:axId val="709359536"/>
      </c:scatterChart>
      <c:valAx>
        <c:axId val="38303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09359536"/>
        <c:crosses val="autoZero"/>
        <c:crossBetween val="midCat"/>
      </c:valAx>
      <c:valAx>
        <c:axId val="7093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8303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time-Maintenance-Java'!$G$67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time-Maintenance-Java'!$F$68:$F$77</c:f>
              <c:numCache>
                <c:formatCode>General</c:formatCode>
                <c:ptCount val="10"/>
                <c:pt idx="0">
                  <c:v>79</c:v>
                </c:pt>
                <c:pt idx="1">
                  <c:v>81</c:v>
                </c:pt>
                <c:pt idx="2">
                  <c:v>87</c:v>
                </c:pt>
                <c:pt idx="3">
                  <c:v>90</c:v>
                </c:pt>
                <c:pt idx="4">
                  <c:v>102</c:v>
                </c:pt>
                <c:pt idx="5">
                  <c:v>136</c:v>
                </c:pt>
                <c:pt idx="6">
                  <c:v>148</c:v>
                </c:pt>
                <c:pt idx="7">
                  <c:v>152</c:v>
                </c:pt>
                <c:pt idx="8">
                  <c:v>160</c:v>
                </c:pt>
                <c:pt idx="9">
                  <c:v>169</c:v>
                </c:pt>
              </c:numCache>
            </c:numRef>
          </c:xVal>
          <c:yVal>
            <c:numRef>
              <c:f>'Real time-Maintenance-Java'!$G$68:$G$77</c:f>
              <c:numCache>
                <c:formatCode>General</c:formatCode>
                <c:ptCount val="10"/>
                <c:pt idx="0">
                  <c:v>142</c:v>
                </c:pt>
                <c:pt idx="1">
                  <c:v>190</c:v>
                </c:pt>
                <c:pt idx="2">
                  <c:v>170</c:v>
                </c:pt>
                <c:pt idx="3">
                  <c:v>189</c:v>
                </c:pt>
                <c:pt idx="4">
                  <c:v>200</c:v>
                </c:pt>
                <c:pt idx="5">
                  <c:v>220</c:v>
                </c:pt>
                <c:pt idx="6">
                  <c:v>186</c:v>
                </c:pt>
                <c:pt idx="7">
                  <c:v>237</c:v>
                </c:pt>
                <c:pt idx="8">
                  <c:v>242</c:v>
                </c:pt>
                <c:pt idx="9">
                  <c:v>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E-9243-B93E-FA6EA9049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511664"/>
        <c:axId val="446033936"/>
      </c:scatterChart>
      <c:valAx>
        <c:axId val="44651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6033936"/>
        <c:crosses val="autoZero"/>
        <c:crossBetween val="midCat"/>
      </c:valAx>
      <c:valAx>
        <c:axId val="4460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651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time-Maintenance-Java'!$G$67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time-Maintenance-Java'!$F$68:$F$77</c:f>
              <c:numCache>
                <c:formatCode>General</c:formatCode>
                <c:ptCount val="10"/>
                <c:pt idx="0">
                  <c:v>79</c:v>
                </c:pt>
                <c:pt idx="1">
                  <c:v>81</c:v>
                </c:pt>
                <c:pt idx="2">
                  <c:v>87</c:v>
                </c:pt>
                <c:pt idx="3">
                  <c:v>90</c:v>
                </c:pt>
                <c:pt idx="4">
                  <c:v>102</c:v>
                </c:pt>
                <c:pt idx="5">
                  <c:v>136</c:v>
                </c:pt>
                <c:pt idx="6">
                  <c:v>148</c:v>
                </c:pt>
                <c:pt idx="7">
                  <c:v>152</c:v>
                </c:pt>
                <c:pt idx="8">
                  <c:v>160</c:v>
                </c:pt>
                <c:pt idx="9">
                  <c:v>169</c:v>
                </c:pt>
              </c:numCache>
            </c:numRef>
          </c:xVal>
          <c:yVal>
            <c:numRef>
              <c:f>'Real time-Maintenance-Java'!$G$68:$G$77</c:f>
              <c:numCache>
                <c:formatCode>General</c:formatCode>
                <c:ptCount val="10"/>
                <c:pt idx="0">
                  <c:v>142</c:v>
                </c:pt>
                <c:pt idx="1">
                  <c:v>190</c:v>
                </c:pt>
                <c:pt idx="2">
                  <c:v>170</c:v>
                </c:pt>
                <c:pt idx="3">
                  <c:v>189</c:v>
                </c:pt>
                <c:pt idx="4">
                  <c:v>200</c:v>
                </c:pt>
                <c:pt idx="5">
                  <c:v>220</c:v>
                </c:pt>
                <c:pt idx="6">
                  <c:v>186</c:v>
                </c:pt>
                <c:pt idx="7">
                  <c:v>237</c:v>
                </c:pt>
                <c:pt idx="8">
                  <c:v>242</c:v>
                </c:pt>
                <c:pt idx="9">
                  <c:v>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9-6346-9A48-AD87B1A9C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511664"/>
        <c:axId val="446033936"/>
      </c:scatterChart>
      <c:valAx>
        <c:axId val="44651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6033936"/>
        <c:crosses val="autoZero"/>
        <c:crossBetween val="midCat"/>
      </c:valAx>
      <c:valAx>
        <c:axId val="4460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651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time-Maintenance'!$G$21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time-Maintenance'!$F$22:$F$35</c:f>
              <c:numCache>
                <c:formatCode>General</c:formatCode>
                <c:ptCount val="14"/>
                <c:pt idx="0">
                  <c:v>51</c:v>
                </c:pt>
                <c:pt idx="1">
                  <c:v>79</c:v>
                </c:pt>
                <c:pt idx="2">
                  <c:v>80</c:v>
                </c:pt>
                <c:pt idx="3">
                  <c:v>81</c:v>
                </c:pt>
                <c:pt idx="4">
                  <c:v>87</c:v>
                </c:pt>
                <c:pt idx="5">
                  <c:v>90</c:v>
                </c:pt>
                <c:pt idx="6">
                  <c:v>102</c:v>
                </c:pt>
                <c:pt idx="7">
                  <c:v>115</c:v>
                </c:pt>
                <c:pt idx="8">
                  <c:v>136</c:v>
                </c:pt>
                <c:pt idx="9">
                  <c:v>148</c:v>
                </c:pt>
                <c:pt idx="10">
                  <c:v>152</c:v>
                </c:pt>
                <c:pt idx="11">
                  <c:v>160</c:v>
                </c:pt>
                <c:pt idx="12">
                  <c:v>169</c:v>
                </c:pt>
                <c:pt idx="13">
                  <c:v>178</c:v>
                </c:pt>
              </c:numCache>
            </c:numRef>
          </c:xVal>
          <c:yVal>
            <c:numRef>
              <c:f>'Real time-Maintenance'!$G$22:$G$35</c:f>
              <c:numCache>
                <c:formatCode>General</c:formatCode>
                <c:ptCount val="14"/>
                <c:pt idx="0">
                  <c:v>52</c:v>
                </c:pt>
                <c:pt idx="1">
                  <c:v>142</c:v>
                </c:pt>
                <c:pt idx="2">
                  <c:v>260</c:v>
                </c:pt>
                <c:pt idx="3">
                  <c:v>190</c:v>
                </c:pt>
                <c:pt idx="4">
                  <c:v>170</c:v>
                </c:pt>
                <c:pt idx="5">
                  <c:v>189</c:v>
                </c:pt>
                <c:pt idx="6">
                  <c:v>200</c:v>
                </c:pt>
                <c:pt idx="7">
                  <c:v>285</c:v>
                </c:pt>
                <c:pt idx="8">
                  <c:v>220</c:v>
                </c:pt>
                <c:pt idx="9">
                  <c:v>186</c:v>
                </c:pt>
                <c:pt idx="10">
                  <c:v>237</c:v>
                </c:pt>
                <c:pt idx="11">
                  <c:v>242</c:v>
                </c:pt>
                <c:pt idx="12">
                  <c:v>215</c:v>
                </c:pt>
                <c:pt idx="13">
                  <c:v>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A3-094B-AB42-C6F1481FD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438928"/>
        <c:axId val="660658304"/>
      </c:scatterChart>
      <c:valAx>
        <c:axId val="72043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660658304"/>
        <c:crosses val="autoZero"/>
        <c:crossBetween val="midCat"/>
      </c:valAx>
      <c:valAx>
        <c:axId val="66065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2043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time-Maintenance'!$G$69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time-Maintenance'!$F$70:$F$82</c:f>
              <c:numCache>
                <c:formatCode>General</c:formatCode>
                <c:ptCount val="13"/>
                <c:pt idx="0">
                  <c:v>79</c:v>
                </c:pt>
                <c:pt idx="1">
                  <c:v>80</c:v>
                </c:pt>
                <c:pt idx="2">
                  <c:v>81</c:v>
                </c:pt>
                <c:pt idx="3">
                  <c:v>87</c:v>
                </c:pt>
                <c:pt idx="4">
                  <c:v>90</c:v>
                </c:pt>
                <c:pt idx="5">
                  <c:v>102</c:v>
                </c:pt>
                <c:pt idx="6">
                  <c:v>115</c:v>
                </c:pt>
                <c:pt idx="7">
                  <c:v>136</c:v>
                </c:pt>
                <c:pt idx="8">
                  <c:v>148</c:v>
                </c:pt>
                <c:pt idx="9">
                  <c:v>152</c:v>
                </c:pt>
                <c:pt idx="10">
                  <c:v>160</c:v>
                </c:pt>
                <c:pt idx="11">
                  <c:v>169</c:v>
                </c:pt>
                <c:pt idx="12">
                  <c:v>178</c:v>
                </c:pt>
              </c:numCache>
            </c:numRef>
          </c:xVal>
          <c:yVal>
            <c:numRef>
              <c:f>'Real time-Maintenance'!$G$70:$G$82</c:f>
              <c:numCache>
                <c:formatCode>General</c:formatCode>
                <c:ptCount val="13"/>
                <c:pt idx="0">
                  <c:v>142</c:v>
                </c:pt>
                <c:pt idx="1">
                  <c:v>260</c:v>
                </c:pt>
                <c:pt idx="2">
                  <c:v>190</c:v>
                </c:pt>
                <c:pt idx="3">
                  <c:v>170</c:v>
                </c:pt>
                <c:pt idx="4">
                  <c:v>189</c:v>
                </c:pt>
                <c:pt idx="5">
                  <c:v>200</c:v>
                </c:pt>
                <c:pt idx="6">
                  <c:v>285</c:v>
                </c:pt>
                <c:pt idx="7">
                  <c:v>220</c:v>
                </c:pt>
                <c:pt idx="8">
                  <c:v>186</c:v>
                </c:pt>
                <c:pt idx="9">
                  <c:v>237</c:v>
                </c:pt>
                <c:pt idx="10">
                  <c:v>242</c:v>
                </c:pt>
                <c:pt idx="11">
                  <c:v>215</c:v>
                </c:pt>
                <c:pt idx="12">
                  <c:v>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31-F34B-8D99-60CCE7BD9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105664"/>
        <c:axId val="445024928"/>
      </c:scatterChart>
      <c:valAx>
        <c:axId val="4451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5024928"/>
        <c:crosses val="autoZero"/>
        <c:crossBetween val="midCat"/>
      </c:valAx>
      <c:valAx>
        <c:axId val="44502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510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time-Maintenance'!$G$69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time-Maintenance'!$F$70:$F$82</c:f>
              <c:numCache>
                <c:formatCode>General</c:formatCode>
                <c:ptCount val="13"/>
                <c:pt idx="0">
                  <c:v>79</c:v>
                </c:pt>
                <c:pt idx="1">
                  <c:v>80</c:v>
                </c:pt>
                <c:pt idx="2">
                  <c:v>81</c:v>
                </c:pt>
                <c:pt idx="3">
                  <c:v>87</c:v>
                </c:pt>
                <c:pt idx="4">
                  <c:v>90</c:v>
                </c:pt>
                <c:pt idx="5">
                  <c:v>102</c:v>
                </c:pt>
                <c:pt idx="6">
                  <c:v>115</c:v>
                </c:pt>
                <c:pt idx="7">
                  <c:v>136</c:v>
                </c:pt>
                <c:pt idx="8">
                  <c:v>148</c:v>
                </c:pt>
                <c:pt idx="9">
                  <c:v>152</c:v>
                </c:pt>
                <c:pt idx="10">
                  <c:v>160</c:v>
                </c:pt>
                <c:pt idx="11">
                  <c:v>169</c:v>
                </c:pt>
                <c:pt idx="12">
                  <c:v>178</c:v>
                </c:pt>
              </c:numCache>
            </c:numRef>
          </c:xVal>
          <c:yVal>
            <c:numRef>
              <c:f>'Real time-Maintenance'!$G$70:$G$82</c:f>
              <c:numCache>
                <c:formatCode>General</c:formatCode>
                <c:ptCount val="13"/>
                <c:pt idx="0">
                  <c:v>142</c:v>
                </c:pt>
                <c:pt idx="1">
                  <c:v>260</c:v>
                </c:pt>
                <c:pt idx="2">
                  <c:v>190</c:v>
                </c:pt>
                <c:pt idx="3">
                  <c:v>170</c:v>
                </c:pt>
                <c:pt idx="4">
                  <c:v>189</c:v>
                </c:pt>
                <c:pt idx="5">
                  <c:v>200</c:v>
                </c:pt>
                <c:pt idx="6">
                  <c:v>285</c:v>
                </c:pt>
                <c:pt idx="7">
                  <c:v>220</c:v>
                </c:pt>
                <c:pt idx="8">
                  <c:v>186</c:v>
                </c:pt>
                <c:pt idx="9">
                  <c:v>237</c:v>
                </c:pt>
                <c:pt idx="10">
                  <c:v>242</c:v>
                </c:pt>
                <c:pt idx="11">
                  <c:v>215</c:v>
                </c:pt>
                <c:pt idx="12">
                  <c:v>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77-214C-A17B-31BD6904F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105664"/>
        <c:axId val="445024928"/>
      </c:scatterChart>
      <c:valAx>
        <c:axId val="4451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5024928"/>
        <c:crosses val="autoZero"/>
        <c:crossBetween val="midCat"/>
      </c:valAx>
      <c:valAx>
        <c:axId val="44502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510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time-C'!$G$21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time-C'!$F$22:$F$39</c:f>
              <c:numCache>
                <c:formatCode>General</c:formatCode>
                <c:ptCount val="18"/>
                <c:pt idx="0">
                  <c:v>28</c:v>
                </c:pt>
                <c:pt idx="1">
                  <c:v>45</c:v>
                </c:pt>
                <c:pt idx="2">
                  <c:v>51</c:v>
                </c:pt>
                <c:pt idx="3">
                  <c:v>65</c:v>
                </c:pt>
                <c:pt idx="4">
                  <c:v>75</c:v>
                </c:pt>
                <c:pt idx="5">
                  <c:v>79</c:v>
                </c:pt>
                <c:pt idx="6">
                  <c:v>80</c:v>
                </c:pt>
                <c:pt idx="7">
                  <c:v>81</c:v>
                </c:pt>
                <c:pt idx="8">
                  <c:v>87</c:v>
                </c:pt>
                <c:pt idx="9">
                  <c:v>90</c:v>
                </c:pt>
                <c:pt idx="10">
                  <c:v>92</c:v>
                </c:pt>
                <c:pt idx="11">
                  <c:v>102</c:v>
                </c:pt>
                <c:pt idx="12">
                  <c:v>127</c:v>
                </c:pt>
                <c:pt idx="13">
                  <c:v>136</c:v>
                </c:pt>
                <c:pt idx="14">
                  <c:v>148</c:v>
                </c:pt>
                <c:pt idx="15">
                  <c:v>152</c:v>
                </c:pt>
                <c:pt idx="16">
                  <c:v>160</c:v>
                </c:pt>
                <c:pt idx="17">
                  <c:v>169</c:v>
                </c:pt>
              </c:numCache>
            </c:numRef>
          </c:xVal>
          <c:yVal>
            <c:numRef>
              <c:f>'Real time-C'!$G$22:$G$39</c:f>
              <c:numCache>
                <c:formatCode>General</c:formatCode>
                <c:ptCount val="18"/>
                <c:pt idx="0">
                  <c:v>42</c:v>
                </c:pt>
                <c:pt idx="1">
                  <c:v>68</c:v>
                </c:pt>
                <c:pt idx="2">
                  <c:v>52</c:v>
                </c:pt>
                <c:pt idx="3">
                  <c:v>139</c:v>
                </c:pt>
                <c:pt idx="4">
                  <c:v>110</c:v>
                </c:pt>
                <c:pt idx="5">
                  <c:v>142</c:v>
                </c:pt>
                <c:pt idx="6">
                  <c:v>260</c:v>
                </c:pt>
                <c:pt idx="7">
                  <c:v>190</c:v>
                </c:pt>
                <c:pt idx="8">
                  <c:v>170</c:v>
                </c:pt>
                <c:pt idx="9">
                  <c:v>189</c:v>
                </c:pt>
                <c:pt idx="10">
                  <c:v>195</c:v>
                </c:pt>
                <c:pt idx="11">
                  <c:v>200</c:v>
                </c:pt>
                <c:pt idx="12">
                  <c:v>215</c:v>
                </c:pt>
                <c:pt idx="13">
                  <c:v>220</c:v>
                </c:pt>
                <c:pt idx="14">
                  <c:v>186</c:v>
                </c:pt>
                <c:pt idx="15">
                  <c:v>237</c:v>
                </c:pt>
                <c:pt idx="16">
                  <c:v>242</c:v>
                </c:pt>
                <c:pt idx="17">
                  <c:v>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E-074C-9B23-E2F53C16A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306576"/>
        <c:axId val="378088848"/>
      </c:scatterChart>
      <c:valAx>
        <c:axId val="45330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8088848"/>
        <c:crosses val="autoZero"/>
        <c:crossBetween val="midCat"/>
      </c:valAx>
      <c:valAx>
        <c:axId val="37808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5330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time-C'!$G$76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time-C'!$F$77:$F$93</c:f>
              <c:numCache>
                <c:formatCode>General</c:formatCode>
                <c:ptCount val="17"/>
                <c:pt idx="0">
                  <c:v>28</c:v>
                </c:pt>
                <c:pt idx="1">
                  <c:v>45</c:v>
                </c:pt>
                <c:pt idx="2">
                  <c:v>51</c:v>
                </c:pt>
                <c:pt idx="3">
                  <c:v>65</c:v>
                </c:pt>
                <c:pt idx="4">
                  <c:v>75</c:v>
                </c:pt>
                <c:pt idx="5">
                  <c:v>79</c:v>
                </c:pt>
                <c:pt idx="6">
                  <c:v>81</c:v>
                </c:pt>
                <c:pt idx="7">
                  <c:v>87</c:v>
                </c:pt>
                <c:pt idx="8">
                  <c:v>90</c:v>
                </c:pt>
                <c:pt idx="9">
                  <c:v>92</c:v>
                </c:pt>
                <c:pt idx="10">
                  <c:v>102</c:v>
                </c:pt>
                <c:pt idx="11">
                  <c:v>127</c:v>
                </c:pt>
                <c:pt idx="12">
                  <c:v>136</c:v>
                </c:pt>
                <c:pt idx="13">
                  <c:v>148</c:v>
                </c:pt>
                <c:pt idx="14">
                  <c:v>152</c:v>
                </c:pt>
                <c:pt idx="15">
                  <c:v>160</c:v>
                </c:pt>
                <c:pt idx="16">
                  <c:v>169</c:v>
                </c:pt>
              </c:numCache>
            </c:numRef>
          </c:xVal>
          <c:yVal>
            <c:numRef>
              <c:f>'Real time-C'!$G$77:$G$93</c:f>
              <c:numCache>
                <c:formatCode>General</c:formatCode>
                <c:ptCount val="17"/>
                <c:pt idx="0">
                  <c:v>42</c:v>
                </c:pt>
                <c:pt idx="1">
                  <c:v>68</c:v>
                </c:pt>
                <c:pt idx="2">
                  <c:v>52</c:v>
                </c:pt>
                <c:pt idx="3">
                  <c:v>139</c:v>
                </c:pt>
                <c:pt idx="4">
                  <c:v>110</c:v>
                </c:pt>
                <c:pt idx="5">
                  <c:v>142</c:v>
                </c:pt>
                <c:pt idx="6">
                  <c:v>190</c:v>
                </c:pt>
                <c:pt idx="7">
                  <c:v>170</c:v>
                </c:pt>
                <c:pt idx="8">
                  <c:v>189</c:v>
                </c:pt>
                <c:pt idx="9">
                  <c:v>195</c:v>
                </c:pt>
                <c:pt idx="10">
                  <c:v>200</c:v>
                </c:pt>
                <c:pt idx="11">
                  <c:v>215</c:v>
                </c:pt>
                <c:pt idx="12">
                  <c:v>220</c:v>
                </c:pt>
                <c:pt idx="13">
                  <c:v>186</c:v>
                </c:pt>
                <c:pt idx="14">
                  <c:v>237</c:v>
                </c:pt>
                <c:pt idx="15">
                  <c:v>242</c:v>
                </c:pt>
                <c:pt idx="16">
                  <c:v>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3D-224A-A50E-74660CBD2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04736"/>
        <c:axId val="378398816"/>
      </c:scatterChart>
      <c:valAx>
        <c:axId val="37780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8398816"/>
        <c:crosses val="autoZero"/>
        <c:crossBetween val="midCat"/>
      </c:valAx>
      <c:valAx>
        <c:axId val="3783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780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time-C'!$G$76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time-C'!$F$77:$F$93</c:f>
              <c:numCache>
                <c:formatCode>General</c:formatCode>
                <c:ptCount val="17"/>
                <c:pt idx="0">
                  <c:v>28</c:v>
                </c:pt>
                <c:pt idx="1">
                  <c:v>45</c:v>
                </c:pt>
                <c:pt idx="2">
                  <c:v>51</c:v>
                </c:pt>
                <c:pt idx="3">
                  <c:v>65</c:v>
                </c:pt>
                <c:pt idx="4">
                  <c:v>75</c:v>
                </c:pt>
                <c:pt idx="5">
                  <c:v>79</c:v>
                </c:pt>
                <c:pt idx="6">
                  <c:v>81</c:v>
                </c:pt>
                <c:pt idx="7">
                  <c:v>87</c:v>
                </c:pt>
                <c:pt idx="8">
                  <c:v>90</c:v>
                </c:pt>
                <c:pt idx="9">
                  <c:v>92</c:v>
                </c:pt>
                <c:pt idx="10">
                  <c:v>102</c:v>
                </c:pt>
                <c:pt idx="11">
                  <c:v>127</c:v>
                </c:pt>
                <c:pt idx="12">
                  <c:v>136</c:v>
                </c:pt>
                <c:pt idx="13">
                  <c:v>148</c:v>
                </c:pt>
                <c:pt idx="14">
                  <c:v>152</c:v>
                </c:pt>
                <c:pt idx="15">
                  <c:v>160</c:v>
                </c:pt>
                <c:pt idx="16">
                  <c:v>169</c:v>
                </c:pt>
              </c:numCache>
            </c:numRef>
          </c:xVal>
          <c:yVal>
            <c:numRef>
              <c:f>'Real time-C'!$G$77:$G$93</c:f>
              <c:numCache>
                <c:formatCode>General</c:formatCode>
                <c:ptCount val="17"/>
                <c:pt idx="0">
                  <c:v>42</c:v>
                </c:pt>
                <c:pt idx="1">
                  <c:v>68</c:v>
                </c:pt>
                <c:pt idx="2">
                  <c:v>52</c:v>
                </c:pt>
                <c:pt idx="3">
                  <c:v>139</c:v>
                </c:pt>
                <c:pt idx="4">
                  <c:v>110</c:v>
                </c:pt>
                <c:pt idx="5">
                  <c:v>142</c:v>
                </c:pt>
                <c:pt idx="6">
                  <c:v>190</c:v>
                </c:pt>
                <c:pt idx="7">
                  <c:v>170</c:v>
                </c:pt>
                <c:pt idx="8">
                  <c:v>189</c:v>
                </c:pt>
                <c:pt idx="9">
                  <c:v>195</c:v>
                </c:pt>
                <c:pt idx="10">
                  <c:v>200</c:v>
                </c:pt>
                <c:pt idx="11">
                  <c:v>215</c:v>
                </c:pt>
                <c:pt idx="12">
                  <c:v>220</c:v>
                </c:pt>
                <c:pt idx="13">
                  <c:v>186</c:v>
                </c:pt>
                <c:pt idx="14">
                  <c:v>237</c:v>
                </c:pt>
                <c:pt idx="15">
                  <c:v>242</c:v>
                </c:pt>
                <c:pt idx="16">
                  <c:v>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D3-6D4A-93B8-094730566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04736"/>
        <c:axId val="378398816"/>
      </c:scatterChart>
      <c:valAx>
        <c:axId val="37780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8398816"/>
        <c:crosses val="autoZero"/>
        <c:crossBetween val="midCat"/>
      </c:valAx>
      <c:valAx>
        <c:axId val="3783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780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Maintenance!$G$22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Maintenance!$F$23:$F$62</c:f>
              <c:numCache>
                <c:formatCode>General</c:formatCode>
                <c:ptCount val="40"/>
                <c:pt idx="0">
                  <c:v>25</c:v>
                </c:pt>
                <c:pt idx="1">
                  <c:v>46</c:v>
                </c:pt>
                <c:pt idx="2">
                  <c:v>51</c:v>
                </c:pt>
                <c:pt idx="3">
                  <c:v>68</c:v>
                </c:pt>
                <c:pt idx="4">
                  <c:v>79</c:v>
                </c:pt>
                <c:pt idx="5">
                  <c:v>80</c:v>
                </c:pt>
                <c:pt idx="6">
                  <c:v>80</c:v>
                </c:pt>
                <c:pt idx="7">
                  <c:v>81</c:v>
                </c:pt>
                <c:pt idx="8">
                  <c:v>83</c:v>
                </c:pt>
                <c:pt idx="9">
                  <c:v>87</c:v>
                </c:pt>
                <c:pt idx="10">
                  <c:v>90</c:v>
                </c:pt>
                <c:pt idx="11">
                  <c:v>102</c:v>
                </c:pt>
                <c:pt idx="12">
                  <c:v>114</c:v>
                </c:pt>
                <c:pt idx="13">
                  <c:v>115</c:v>
                </c:pt>
                <c:pt idx="14">
                  <c:v>115</c:v>
                </c:pt>
                <c:pt idx="15">
                  <c:v>136</c:v>
                </c:pt>
                <c:pt idx="16">
                  <c:v>148</c:v>
                </c:pt>
                <c:pt idx="17">
                  <c:v>152</c:v>
                </c:pt>
                <c:pt idx="18">
                  <c:v>152</c:v>
                </c:pt>
                <c:pt idx="19">
                  <c:v>159</c:v>
                </c:pt>
                <c:pt idx="20">
                  <c:v>160</c:v>
                </c:pt>
                <c:pt idx="21">
                  <c:v>169</c:v>
                </c:pt>
                <c:pt idx="22">
                  <c:v>174</c:v>
                </c:pt>
                <c:pt idx="23">
                  <c:v>178</c:v>
                </c:pt>
                <c:pt idx="24">
                  <c:v>179</c:v>
                </c:pt>
                <c:pt idx="25">
                  <c:v>180</c:v>
                </c:pt>
                <c:pt idx="26">
                  <c:v>182</c:v>
                </c:pt>
                <c:pt idx="27">
                  <c:v>237</c:v>
                </c:pt>
                <c:pt idx="28">
                  <c:v>250</c:v>
                </c:pt>
                <c:pt idx="29">
                  <c:v>297</c:v>
                </c:pt>
                <c:pt idx="30">
                  <c:v>297</c:v>
                </c:pt>
                <c:pt idx="31">
                  <c:v>382</c:v>
                </c:pt>
                <c:pt idx="32">
                  <c:v>443</c:v>
                </c:pt>
                <c:pt idx="33">
                  <c:v>460</c:v>
                </c:pt>
                <c:pt idx="34">
                  <c:v>500</c:v>
                </c:pt>
                <c:pt idx="35">
                  <c:v>500</c:v>
                </c:pt>
                <c:pt idx="36">
                  <c:v>568</c:v>
                </c:pt>
                <c:pt idx="37">
                  <c:v>620</c:v>
                </c:pt>
                <c:pt idx="38">
                  <c:v>730</c:v>
                </c:pt>
                <c:pt idx="39">
                  <c:v>779</c:v>
                </c:pt>
              </c:numCache>
            </c:numRef>
          </c:xVal>
          <c:yVal>
            <c:numRef>
              <c:f>Maintenance!$G$23:$G$62</c:f>
              <c:numCache>
                <c:formatCode>General</c:formatCode>
                <c:ptCount val="40"/>
                <c:pt idx="0">
                  <c:v>118</c:v>
                </c:pt>
                <c:pt idx="1">
                  <c:v>1009</c:v>
                </c:pt>
                <c:pt idx="2">
                  <c:v>52</c:v>
                </c:pt>
                <c:pt idx="3">
                  <c:v>12702</c:v>
                </c:pt>
                <c:pt idx="4">
                  <c:v>142</c:v>
                </c:pt>
                <c:pt idx="5">
                  <c:v>260</c:v>
                </c:pt>
                <c:pt idx="6">
                  <c:v>2879</c:v>
                </c:pt>
                <c:pt idx="7">
                  <c:v>190</c:v>
                </c:pt>
                <c:pt idx="8">
                  <c:v>855</c:v>
                </c:pt>
                <c:pt idx="9">
                  <c:v>170</c:v>
                </c:pt>
                <c:pt idx="10">
                  <c:v>189</c:v>
                </c:pt>
                <c:pt idx="11">
                  <c:v>200</c:v>
                </c:pt>
                <c:pt idx="12">
                  <c:v>7290</c:v>
                </c:pt>
                <c:pt idx="13">
                  <c:v>285</c:v>
                </c:pt>
                <c:pt idx="14" formatCode="0">
                  <c:v>2712</c:v>
                </c:pt>
                <c:pt idx="15">
                  <c:v>220</c:v>
                </c:pt>
                <c:pt idx="16">
                  <c:v>186</c:v>
                </c:pt>
                <c:pt idx="17">
                  <c:v>237</c:v>
                </c:pt>
                <c:pt idx="18">
                  <c:v>2389</c:v>
                </c:pt>
                <c:pt idx="19" formatCode="0">
                  <c:v>3689</c:v>
                </c:pt>
                <c:pt idx="20">
                  <c:v>242</c:v>
                </c:pt>
                <c:pt idx="21">
                  <c:v>215</c:v>
                </c:pt>
                <c:pt idx="22">
                  <c:v>1876</c:v>
                </c:pt>
                <c:pt idx="23">
                  <c:v>290</c:v>
                </c:pt>
                <c:pt idx="24">
                  <c:v>789</c:v>
                </c:pt>
                <c:pt idx="25">
                  <c:v>3063</c:v>
                </c:pt>
                <c:pt idx="26">
                  <c:v>2629.2</c:v>
                </c:pt>
                <c:pt idx="27" formatCode="0">
                  <c:v>3065</c:v>
                </c:pt>
                <c:pt idx="28">
                  <c:v>400</c:v>
                </c:pt>
                <c:pt idx="29" formatCode="0">
                  <c:v>2684</c:v>
                </c:pt>
                <c:pt idx="30">
                  <c:v>7449</c:v>
                </c:pt>
                <c:pt idx="31">
                  <c:v>22000</c:v>
                </c:pt>
                <c:pt idx="32">
                  <c:v>796</c:v>
                </c:pt>
                <c:pt idx="33">
                  <c:v>1667</c:v>
                </c:pt>
                <c:pt idx="34">
                  <c:v>700</c:v>
                </c:pt>
                <c:pt idx="35" formatCode="0">
                  <c:v>2510</c:v>
                </c:pt>
                <c:pt idx="36">
                  <c:v>5873</c:v>
                </c:pt>
                <c:pt idx="37">
                  <c:v>18160</c:v>
                </c:pt>
                <c:pt idx="38">
                  <c:v>20975</c:v>
                </c:pt>
                <c:pt idx="39">
                  <c:v>25040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7-A04A-8769-B8BBB28E1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149600"/>
        <c:axId val="377907104"/>
      </c:scatterChart>
      <c:valAx>
        <c:axId val="78914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7907104"/>
        <c:crosses val="autoZero"/>
        <c:crossBetween val="midCat"/>
        <c:majorUnit val="50"/>
        <c:minorUnit val="50"/>
      </c:valAx>
      <c:valAx>
        <c:axId val="3779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89149600"/>
        <c:crosses val="autoZero"/>
        <c:crossBetween val="midCat"/>
        <c:majorUnit val="2500"/>
        <c:minorUnit val="2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Maintenance!$G$905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Maintenance!$F$906:$F$917</c:f>
              <c:numCache>
                <c:formatCode>General</c:formatCode>
                <c:ptCount val="12"/>
                <c:pt idx="0">
                  <c:v>25</c:v>
                </c:pt>
                <c:pt idx="1">
                  <c:v>79</c:v>
                </c:pt>
                <c:pt idx="2">
                  <c:v>81</c:v>
                </c:pt>
                <c:pt idx="3">
                  <c:v>87</c:v>
                </c:pt>
                <c:pt idx="4">
                  <c:v>90</c:v>
                </c:pt>
                <c:pt idx="5">
                  <c:v>102</c:v>
                </c:pt>
                <c:pt idx="6">
                  <c:v>136</c:v>
                </c:pt>
                <c:pt idx="7">
                  <c:v>148</c:v>
                </c:pt>
                <c:pt idx="8">
                  <c:v>152</c:v>
                </c:pt>
                <c:pt idx="9">
                  <c:v>160</c:v>
                </c:pt>
                <c:pt idx="10">
                  <c:v>169</c:v>
                </c:pt>
                <c:pt idx="11">
                  <c:v>178</c:v>
                </c:pt>
              </c:numCache>
            </c:numRef>
          </c:xVal>
          <c:yVal>
            <c:numRef>
              <c:f>Maintenance!$G$906:$G$917</c:f>
              <c:numCache>
                <c:formatCode>General</c:formatCode>
                <c:ptCount val="12"/>
                <c:pt idx="0">
                  <c:v>118</c:v>
                </c:pt>
                <c:pt idx="1">
                  <c:v>142</c:v>
                </c:pt>
                <c:pt idx="2">
                  <c:v>190</c:v>
                </c:pt>
                <c:pt idx="3">
                  <c:v>170</c:v>
                </c:pt>
                <c:pt idx="4">
                  <c:v>189</c:v>
                </c:pt>
                <c:pt idx="5">
                  <c:v>200</c:v>
                </c:pt>
                <c:pt idx="6">
                  <c:v>220</c:v>
                </c:pt>
                <c:pt idx="7">
                  <c:v>186</c:v>
                </c:pt>
                <c:pt idx="8">
                  <c:v>237</c:v>
                </c:pt>
                <c:pt idx="9">
                  <c:v>242</c:v>
                </c:pt>
                <c:pt idx="10">
                  <c:v>215</c:v>
                </c:pt>
                <c:pt idx="11">
                  <c:v>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78-6242-AA2F-F801F5BC2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382208"/>
        <c:axId val="378017392"/>
      </c:scatterChart>
      <c:valAx>
        <c:axId val="4353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8017392"/>
        <c:crosses val="autoZero"/>
        <c:crossBetween val="midCat"/>
      </c:valAx>
      <c:valAx>
        <c:axId val="3780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3538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Maintenance!$G$905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Maintenance!$F$906:$F$917</c:f>
              <c:numCache>
                <c:formatCode>General</c:formatCode>
                <c:ptCount val="12"/>
                <c:pt idx="0">
                  <c:v>25</c:v>
                </c:pt>
                <c:pt idx="1">
                  <c:v>79</c:v>
                </c:pt>
                <c:pt idx="2">
                  <c:v>81</c:v>
                </c:pt>
                <c:pt idx="3">
                  <c:v>87</c:v>
                </c:pt>
                <c:pt idx="4">
                  <c:v>90</c:v>
                </c:pt>
                <c:pt idx="5">
                  <c:v>102</c:v>
                </c:pt>
                <c:pt idx="6">
                  <c:v>136</c:v>
                </c:pt>
                <c:pt idx="7">
                  <c:v>148</c:v>
                </c:pt>
                <c:pt idx="8">
                  <c:v>152</c:v>
                </c:pt>
                <c:pt idx="9">
                  <c:v>160</c:v>
                </c:pt>
                <c:pt idx="10">
                  <c:v>169</c:v>
                </c:pt>
                <c:pt idx="11">
                  <c:v>178</c:v>
                </c:pt>
              </c:numCache>
            </c:numRef>
          </c:xVal>
          <c:yVal>
            <c:numRef>
              <c:f>Maintenance!$G$906:$G$917</c:f>
              <c:numCache>
                <c:formatCode>General</c:formatCode>
                <c:ptCount val="12"/>
                <c:pt idx="0">
                  <c:v>118</c:v>
                </c:pt>
                <c:pt idx="1">
                  <c:v>142</c:v>
                </c:pt>
                <c:pt idx="2">
                  <c:v>190</c:v>
                </c:pt>
                <c:pt idx="3">
                  <c:v>170</c:v>
                </c:pt>
                <c:pt idx="4">
                  <c:v>189</c:v>
                </c:pt>
                <c:pt idx="5">
                  <c:v>200</c:v>
                </c:pt>
                <c:pt idx="6">
                  <c:v>220</c:v>
                </c:pt>
                <c:pt idx="7">
                  <c:v>186</c:v>
                </c:pt>
                <c:pt idx="8">
                  <c:v>237</c:v>
                </c:pt>
                <c:pt idx="9">
                  <c:v>242</c:v>
                </c:pt>
                <c:pt idx="10">
                  <c:v>215</c:v>
                </c:pt>
                <c:pt idx="11">
                  <c:v>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A2-3240-9AA2-9B60AA1E4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382208"/>
        <c:axId val="378017392"/>
      </c:scatterChart>
      <c:valAx>
        <c:axId val="4353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8017392"/>
        <c:crosses val="autoZero"/>
        <c:crossBetween val="midCat"/>
      </c:valAx>
      <c:valAx>
        <c:axId val="3780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3538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'Business-New'!$G$21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'Business-New'!$F$22:$F$65</c:f>
              <c:numCache>
                <c:formatCode>General</c:formatCode>
                <c:ptCount val="44"/>
                <c:pt idx="0">
                  <c:v>43</c:v>
                </c:pt>
                <c:pt idx="1">
                  <c:v>52</c:v>
                </c:pt>
                <c:pt idx="2">
                  <c:v>61</c:v>
                </c:pt>
                <c:pt idx="3">
                  <c:v>68</c:v>
                </c:pt>
                <c:pt idx="4">
                  <c:v>70</c:v>
                </c:pt>
                <c:pt idx="5">
                  <c:v>72</c:v>
                </c:pt>
                <c:pt idx="6">
                  <c:v>73</c:v>
                </c:pt>
                <c:pt idx="7">
                  <c:v>74</c:v>
                </c:pt>
                <c:pt idx="8">
                  <c:v>76</c:v>
                </c:pt>
                <c:pt idx="9">
                  <c:v>79</c:v>
                </c:pt>
                <c:pt idx="10">
                  <c:v>81</c:v>
                </c:pt>
                <c:pt idx="11">
                  <c:v>83</c:v>
                </c:pt>
                <c:pt idx="12">
                  <c:v>84</c:v>
                </c:pt>
                <c:pt idx="13">
                  <c:v>85</c:v>
                </c:pt>
                <c:pt idx="14">
                  <c:v>90</c:v>
                </c:pt>
                <c:pt idx="15">
                  <c:v>92</c:v>
                </c:pt>
                <c:pt idx="16">
                  <c:v>100</c:v>
                </c:pt>
                <c:pt idx="17">
                  <c:v>102</c:v>
                </c:pt>
                <c:pt idx="18">
                  <c:v>105</c:v>
                </c:pt>
                <c:pt idx="19">
                  <c:v>108</c:v>
                </c:pt>
                <c:pt idx="20">
                  <c:v>108</c:v>
                </c:pt>
                <c:pt idx="21">
                  <c:v>110</c:v>
                </c:pt>
                <c:pt idx="22">
                  <c:v>114</c:v>
                </c:pt>
                <c:pt idx="23">
                  <c:v>115</c:v>
                </c:pt>
                <c:pt idx="24">
                  <c:v>117</c:v>
                </c:pt>
                <c:pt idx="25">
                  <c:v>117</c:v>
                </c:pt>
                <c:pt idx="26">
                  <c:v>118</c:v>
                </c:pt>
                <c:pt idx="27">
                  <c:v>122</c:v>
                </c:pt>
                <c:pt idx="28">
                  <c:v>125</c:v>
                </c:pt>
                <c:pt idx="29">
                  <c:v>127</c:v>
                </c:pt>
                <c:pt idx="30">
                  <c:v>135</c:v>
                </c:pt>
                <c:pt idx="31">
                  <c:v>136</c:v>
                </c:pt>
                <c:pt idx="32">
                  <c:v>143</c:v>
                </c:pt>
                <c:pt idx="33">
                  <c:v>153</c:v>
                </c:pt>
                <c:pt idx="34">
                  <c:v>156</c:v>
                </c:pt>
                <c:pt idx="35">
                  <c:v>162</c:v>
                </c:pt>
                <c:pt idx="36">
                  <c:v>162</c:v>
                </c:pt>
                <c:pt idx="37">
                  <c:v>183</c:v>
                </c:pt>
                <c:pt idx="38">
                  <c:v>189</c:v>
                </c:pt>
                <c:pt idx="39">
                  <c:v>193</c:v>
                </c:pt>
                <c:pt idx="40">
                  <c:v>195</c:v>
                </c:pt>
                <c:pt idx="41">
                  <c:v>209</c:v>
                </c:pt>
                <c:pt idx="42">
                  <c:v>310</c:v>
                </c:pt>
                <c:pt idx="43">
                  <c:v>849</c:v>
                </c:pt>
              </c:numCache>
            </c:numRef>
          </c:xVal>
          <c:yVal>
            <c:numRef>
              <c:f>'Business-New'!$G$22:$G$65</c:f>
              <c:numCache>
                <c:formatCode>0</c:formatCode>
                <c:ptCount val="44"/>
                <c:pt idx="0" formatCode="General">
                  <c:v>150</c:v>
                </c:pt>
                <c:pt idx="1">
                  <c:v>274.09199999999998</c:v>
                </c:pt>
                <c:pt idx="2">
                  <c:v>336.84199999999998</c:v>
                </c:pt>
                <c:pt idx="3">
                  <c:v>512.04</c:v>
                </c:pt>
                <c:pt idx="4">
                  <c:v>379.512</c:v>
                </c:pt>
                <c:pt idx="5">
                  <c:v>397.58399999999995</c:v>
                </c:pt>
                <c:pt idx="6">
                  <c:v>659.62799999999993</c:v>
                </c:pt>
                <c:pt idx="7">
                  <c:v>482.92399999999998</c:v>
                </c:pt>
                <c:pt idx="8" formatCode="General">
                  <c:v>1100</c:v>
                </c:pt>
                <c:pt idx="9">
                  <c:v>475.89599999999996</c:v>
                </c:pt>
                <c:pt idx="10">
                  <c:v>691.25399999999991</c:v>
                </c:pt>
                <c:pt idx="11">
                  <c:v>466.6592</c:v>
                </c:pt>
                <c:pt idx="12">
                  <c:v>421.67999999999995</c:v>
                </c:pt>
                <c:pt idx="13">
                  <c:v>725.39</c:v>
                </c:pt>
                <c:pt idx="14">
                  <c:v>406.61999999999995</c:v>
                </c:pt>
                <c:pt idx="15">
                  <c:v>831.31200000000001</c:v>
                </c:pt>
                <c:pt idx="16">
                  <c:v>702.79999999999984</c:v>
                </c:pt>
                <c:pt idx="17">
                  <c:v>921.67199999999991</c:v>
                </c:pt>
                <c:pt idx="18">
                  <c:v>2196.2953367875648</c:v>
                </c:pt>
                <c:pt idx="19">
                  <c:v>650.59199999999998</c:v>
                </c:pt>
                <c:pt idx="20" formatCode="General">
                  <c:v>1276</c:v>
                </c:pt>
                <c:pt idx="21" formatCode="General">
                  <c:v>884</c:v>
                </c:pt>
                <c:pt idx="22">
                  <c:v>502</c:v>
                </c:pt>
                <c:pt idx="23">
                  <c:v>692.75999999999988</c:v>
                </c:pt>
                <c:pt idx="24">
                  <c:v>728.30159999999989</c:v>
                </c:pt>
                <c:pt idx="25">
                  <c:v>998.47799999999984</c:v>
                </c:pt>
                <c:pt idx="26">
                  <c:v>1795.0673575129535</c:v>
                </c:pt>
                <c:pt idx="27" formatCode="General">
                  <c:v>1045</c:v>
                </c:pt>
                <c:pt idx="28">
                  <c:v>1004</c:v>
                </c:pt>
                <c:pt idx="29">
                  <c:v>1020.064</c:v>
                </c:pt>
                <c:pt idx="30" formatCode="General">
                  <c:v>1053</c:v>
                </c:pt>
                <c:pt idx="31">
                  <c:v>1024.08</c:v>
                </c:pt>
                <c:pt idx="32">
                  <c:v>861.4319999999999</c:v>
                </c:pt>
                <c:pt idx="33">
                  <c:v>1228.896</c:v>
                </c:pt>
                <c:pt idx="34" formatCode="General">
                  <c:v>1025</c:v>
                </c:pt>
                <c:pt idx="35">
                  <c:v>1305</c:v>
                </c:pt>
                <c:pt idx="36">
                  <c:v>1903.7602072538862</c:v>
                </c:pt>
                <c:pt idx="37" formatCode="General">
                  <c:v>460</c:v>
                </c:pt>
                <c:pt idx="38" formatCode="General">
                  <c:v>315</c:v>
                </c:pt>
                <c:pt idx="39">
                  <c:v>734</c:v>
                </c:pt>
                <c:pt idx="40" formatCode="General">
                  <c:v>322</c:v>
                </c:pt>
                <c:pt idx="41">
                  <c:v>1993.4419999999996</c:v>
                </c:pt>
                <c:pt idx="42">
                  <c:v>933.7199999999998</c:v>
                </c:pt>
                <c:pt idx="43" formatCode="General">
                  <c:v>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B-B340-9243-E3B063C91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145648"/>
        <c:axId val="374726832"/>
      </c:scatterChart>
      <c:valAx>
        <c:axId val="72214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4726832"/>
        <c:crosses val="autoZero"/>
        <c:crossBetween val="midCat"/>
        <c:majorUnit val="50"/>
        <c:minorUnit val="50"/>
      </c:valAx>
      <c:valAx>
        <c:axId val="3747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22145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'Business-New'!$G$470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'Business-New'!$F$471:$F$501</c:f>
              <c:numCache>
                <c:formatCode>General</c:formatCode>
                <c:ptCount val="31"/>
                <c:pt idx="0">
                  <c:v>43</c:v>
                </c:pt>
                <c:pt idx="1">
                  <c:v>52</c:v>
                </c:pt>
                <c:pt idx="2">
                  <c:v>61</c:v>
                </c:pt>
                <c:pt idx="3">
                  <c:v>68</c:v>
                </c:pt>
                <c:pt idx="4">
                  <c:v>70</c:v>
                </c:pt>
                <c:pt idx="5">
                  <c:v>72</c:v>
                </c:pt>
                <c:pt idx="6">
                  <c:v>73</c:v>
                </c:pt>
                <c:pt idx="7">
                  <c:v>74</c:v>
                </c:pt>
                <c:pt idx="8">
                  <c:v>79</c:v>
                </c:pt>
                <c:pt idx="9">
                  <c:v>81</c:v>
                </c:pt>
                <c:pt idx="10">
                  <c:v>83</c:v>
                </c:pt>
                <c:pt idx="11">
                  <c:v>84</c:v>
                </c:pt>
                <c:pt idx="12">
                  <c:v>85</c:v>
                </c:pt>
                <c:pt idx="13">
                  <c:v>90</c:v>
                </c:pt>
                <c:pt idx="14">
                  <c:v>92</c:v>
                </c:pt>
                <c:pt idx="15">
                  <c:v>100</c:v>
                </c:pt>
                <c:pt idx="16">
                  <c:v>102</c:v>
                </c:pt>
                <c:pt idx="17">
                  <c:v>108</c:v>
                </c:pt>
                <c:pt idx="18">
                  <c:v>110</c:v>
                </c:pt>
                <c:pt idx="19">
                  <c:v>115</c:v>
                </c:pt>
                <c:pt idx="20">
                  <c:v>117</c:v>
                </c:pt>
                <c:pt idx="21">
                  <c:v>117</c:v>
                </c:pt>
                <c:pt idx="22">
                  <c:v>122</c:v>
                </c:pt>
                <c:pt idx="23">
                  <c:v>125</c:v>
                </c:pt>
                <c:pt idx="24">
                  <c:v>127</c:v>
                </c:pt>
                <c:pt idx="25">
                  <c:v>135</c:v>
                </c:pt>
                <c:pt idx="26">
                  <c:v>136</c:v>
                </c:pt>
                <c:pt idx="27">
                  <c:v>143</c:v>
                </c:pt>
                <c:pt idx="28">
                  <c:v>153</c:v>
                </c:pt>
                <c:pt idx="29">
                  <c:v>156</c:v>
                </c:pt>
                <c:pt idx="30">
                  <c:v>162</c:v>
                </c:pt>
              </c:numCache>
            </c:numRef>
          </c:xVal>
          <c:yVal>
            <c:numRef>
              <c:f>'Business-New'!$G$471:$G$501</c:f>
              <c:numCache>
                <c:formatCode>0</c:formatCode>
                <c:ptCount val="31"/>
                <c:pt idx="0" formatCode="General">
                  <c:v>150</c:v>
                </c:pt>
                <c:pt idx="1">
                  <c:v>274.09199999999998</c:v>
                </c:pt>
                <c:pt idx="2">
                  <c:v>336.84199999999998</c:v>
                </c:pt>
                <c:pt idx="3">
                  <c:v>512.04</c:v>
                </c:pt>
                <c:pt idx="4">
                  <c:v>379.512</c:v>
                </c:pt>
                <c:pt idx="5">
                  <c:v>397.58399999999995</c:v>
                </c:pt>
                <c:pt idx="6">
                  <c:v>659.62799999999993</c:v>
                </c:pt>
                <c:pt idx="7">
                  <c:v>482.92399999999998</c:v>
                </c:pt>
                <c:pt idx="8">
                  <c:v>475.89599999999996</c:v>
                </c:pt>
                <c:pt idx="9">
                  <c:v>691.25399999999991</c:v>
                </c:pt>
                <c:pt idx="10">
                  <c:v>466.6592</c:v>
                </c:pt>
                <c:pt idx="11">
                  <c:v>421.67999999999995</c:v>
                </c:pt>
                <c:pt idx="12">
                  <c:v>725.39</c:v>
                </c:pt>
                <c:pt idx="13">
                  <c:v>406.61999999999995</c:v>
                </c:pt>
                <c:pt idx="14">
                  <c:v>831.31200000000001</c:v>
                </c:pt>
                <c:pt idx="15">
                  <c:v>702.79999999999984</c:v>
                </c:pt>
                <c:pt idx="16">
                  <c:v>921.67199999999991</c:v>
                </c:pt>
                <c:pt idx="17">
                  <c:v>650.59199999999998</c:v>
                </c:pt>
                <c:pt idx="18" formatCode="General">
                  <c:v>884</c:v>
                </c:pt>
                <c:pt idx="19">
                  <c:v>692.75999999999988</c:v>
                </c:pt>
                <c:pt idx="20">
                  <c:v>728.30159999999989</c:v>
                </c:pt>
                <c:pt idx="21">
                  <c:v>998.47799999999984</c:v>
                </c:pt>
                <c:pt idx="22" formatCode="General">
                  <c:v>1045</c:v>
                </c:pt>
                <c:pt idx="23">
                  <c:v>1004</c:v>
                </c:pt>
                <c:pt idx="24">
                  <c:v>1020.064</c:v>
                </c:pt>
                <c:pt idx="25" formatCode="General">
                  <c:v>1053</c:v>
                </c:pt>
                <c:pt idx="26">
                  <c:v>1024.08</c:v>
                </c:pt>
                <c:pt idx="27">
                  <c:v>861.4319999999999</c:v>
                </c:pt>
                <c:pt idx="28">
                  <c:v>1228.896</c:v>
                </c:pt>
                <c:pt idx="29" formatCode="General">
                  <c:v>1025</c:v>
                </c:pt>
                <c:pt idx="30">
                  <c:v>1305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B5-8446-B432-5C9D230B3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151040"/>
        <c:axId val="382997328"/>
      </c:scatterChart>
      <c:valAx>
        <c:axId val="72215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82997328"/>
        <c:crosses val="autoZero"/>
        <c:crossBetween val="midCat"/>
        <c:majorUnit val="50"/>
        <c:minorUnit val="50"/>
      </c:valAx>
      <c:valAx>
        <c:axId val="3829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2215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'Business-New'!$G$470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'Business-New'!$F$471:$F$501</c:f>
              <c:numCache>
                <c:formatCode>General</c:formatCode>
                <c:ptCount val="31"/>
                <c:pt idx="0">
                  <c:v>43</c:v>
                </c:pt>
                <c:pt idx="1">
                  <c:v>52</c:v>
                </c:pt>
                <c:pt idx="2">
                  <c:v>61</c:v>
                </c:pt>
                <c:pt idx="3">
                  <c:v>68</c:v>
                </c:pt>
                <c:pt idx="4">
                  <c:v>70</c:v>
                </c:pt>
                <c:pt idx="5">
                  <c:v>72</c:v>
                </c:pt>
                <c:pt idx="6">
                  <c:v>73</c:v>
                </c:pt>
                <c:pt idx="7">
                  <c:v>74</c:v>
                </c:pt>
                <c:pt idx="8">
                  <c:v>79</c:v>
                </c:pt>
                <c:pt idx="9">
                  <c:v>81</c:v>
                </c:pt>
                <c:pt idx="10">
                  <c:v>83</c:v>
                </c:pt>
                <c:pt idx="11">
                  <c:v>84</c:v>
                </c:pt>
                <c:pt idx="12">
                  <c:v>85</c:v>
                </c:pt>
                <c:pt idx="13">
                  <c:v>90</c:v>
                </c:pt>
                <c:pt idx="14">
                  <c:v>92</c:v>
                </c:pt>
                <c:pt idx="15">
                  <c:v>100</c:v>
                </c:pt>
                <c:pt idx="16">
                  <c:v>102</c:v>
                </c:pt>
                <c:pt idx="17">
                  <c:v>108</c:v>
                </c:pt>
                <c:pt idx="18">
                  <c:v>110</c:v>
                </c:pt>
                <c:pt idx="19">
                  <c:v>115</c:v>
                </c:pt>
                <c:pt idx="20">
                  <c:v>117</c:v>
                </c:pt>
                <c:pt idx="21">
                  <c:v>117</c:v>
                </c:pt>
                <c:pt idx="22">
                  <c:v>122</c:v>
                </c:pt>
                <c:pt idx="23">
                  <c:v>125</c:v>
                </c:pt>
                <c:pt idx="24">
                  <c:v>127</c:v>
                </c:pt>
                <c:pt idx="25">
                  <c:v>135</c:v>
                </c:pt>
                <c:pt idx="26">
                  <c:v>136</c:v>
                </c:pt>
                <c:pt idx="27">
                  <c:v>143</c:v>
                </c:pt>
                <c:pt idx="28">
                  <c:v>153</c:v>
                </c:pt>
                <c:pt idx="29">
                  <c:v>156</c:v>
                </c:pt>
                <c:pt idx="30">
                  <c:v>162</c:v>
                </c:pt>
              </c:numCache>
            </c:numRef>
          </c:xVal>
          <c:yVal>
            <c:numRef>
              <c:f>'Business-New'!$G$471:$G$501</c:f>
              <c:numCache>
                <c:formatCode>0</c:formatCode>
                <c:ptCount val="31"/>
                <c:pt idx="0" formatCode="General">
                  <c:v>150</c:v>
                </c:pt>
                <c:pt idx="1">
                  <c:v>274.09199999999998</c:v>
                </c:pt>
                <c:pt idx="2">
                  <c:v>336.84199999999998</c:v>
                </c:pt>
                <c:pt idx="3">
                  <c:v>512.04</c:v>
                </c:pt>
                <c:pt idx="4">
                  <c:v>379.512</c:v>
                </c:pt>
                <c:pt idx="5">
                  <c:v>397.58399999999995</c:v>
                </c:pt>
                <c:pt idx="6">
                  <c:v>659.62799999999993</c:v>
                </c:pt>
                <c:pt idx="7">
                  <c:v>482.92399999999998</c:v>
                </c:pt>
                <c:pt idx="8">
                  <c:v>475.89599999999996</c:v>
                </c:pt>
                <c:pt idx="9">
                  <c:v>691.25399999999991</c:v>
                </c:pt>
                <c:pt idx="10">
                  <c:v>466.6592</c:v>
                </c:pt>
                <c:pt idx="11">
                  <c:v>421.67999999999995</c:v>
                </c:pt>
                <c:pt idx="12">
                  <c:v>725.39</c:v>
                </c:pt>
                <c:pt idx="13">
                  <c:v>406.61999999999995</c:v>
                </c:pt>
                <c:pt idx="14">
                  <c:v>831.31200000000001</c:v>
                </c:pt>
                <c:pt idx="15">
                  <c:v>702.79999999999984</c:v>
                </c:pt>
                <c:pt idx="16">
                  <c:v>921.67199999999991</c:v>
                </c:pt>
                <c:pt idx="17">
                  <c:v>650.59199999999998</c:v>
                </c:pt>
                <c:pt idx="18" formatCode="General">
                  <c:v>884</c:v>
                </c:pt>
                <c:pt idx="19">
                  <c:v>692.75999999999988</c:v>
                </c:pt>
                <c:pt idx="20">
                  <c:v>728.30159999999989</c:v>
                </c:pt>
                <c:pt idx="21">
                  <c:v>998.47799999999984</c:v>
                </c:pt>
                <c:pt idx="22" formatCode="General">
                  <c:v>1045</c:v>
                </c:pt>
                <c:pt idx="23">
                  <c:v>1004</c:v>
                </c:pt>
                <c:pt idx="24">
                  <c:v>1020.064</c:v>
                </c:pt>
                <c:pt idx="25" formatCode="General">
                  <c:v>1053</c:v>
                </c:pt>
                <c:pt idx="26">
                  <c:v>1024.08</c:v>
                </c:pt>
                <c:pt idx="27">
                  <c:v>861.4319999999999</c:v>
                </c:pt>
                <c:pt idx="28">
                  <c:v>1228.896</c:v>
                </c:pt>
                <c:pt idx="29" formatCode="General">
                  <c:v>1025</c:v>
                </c:pt>
                <c:pt idx="30">
                  <c:v>1305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36-0840-B238-C5D1E24E2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151040"/>
        <c:axId val="382997328"/>
      </c:scatterChart>
      <c:valAx>
        <c:axId val="72215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82997328"/>
        <c:crosses val="autoZero"/>
        <c:crossBetween val="midCat"/>
        <c:majorUnit val="50"/>
      </c:valAx>
      <c:valAx>
        <c:axId val="3829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2215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time'!$G$21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time'!$F$22:$F$41</c:f>
              <c:numCache>
                <c:formatCode>General</c:formatCode>
                <c:ptCount val="20"/>
                <c:pt idx="0">
                  <c:v>28</c:v>
                </c:pt>
                <c:pt idx="1">
                  <c:v>45</c:v>
                </c:pt>
                <c:pt idx="2">
                  <c:v>51</c:v>
                </c:pt>
                <c:pt idx="3">
                  <c:v>65</c:v>
                </c:pt>
                <c:pt idx="4">
                  <c:v>75</c:v>
                </c:pt>
                <c:pt idx="5">
                  <c:v>79</c:v>
                </c:pt>
                <c:pt idx="6">
                  <c:v>80</c:v>
                </c:pt>
                <c:pt idx="7">
                  <c:v>81</c:v>
                </c:pt>
                <c:pt idx="8">
                  <c:v>87</c:v>
                </c:pt>
                <c:pt idx="9">
                  <c:v>90</c:v>
                </c:pt>
                <c:pt idx="10">
                  <c:v>92</c:v>
                </c:pt>
                <c:pt idx="11">
                  <c:v>102</c:v>
                </c:pt>
                <c:pt idx="12">
                  <c:v>115</c:v>
                </c:pt>
                <c:pt idx="13">
                  <c:v>127</c:v>
                </c:pt>
                <c:pt idx="14">
                  <c:v>136</c:v>
                </c:pt>
                <c:pt idx="15">
                  <c:v>148</c:v>
                </c:pt>
                <c:pt idx="16">
                  <c:v>152</c:v>
                </c:pt>
                <c:pt idx="17">
                  <c:v>160</c:v>
                </c:pt>
                <c:pt idx="18">
                  <c:v>169</c:v>
                </c:pt>
                <c:pt idx="19">
                  <c:v>178</c:v>
                </c:pt>
              </c:numCache>
            </c:numRef>
          </c:xVal>
          <c:yVal>
            <c:numRef>
              <c:f>'Real time'!$G$22:$G$41</c:f>
              <c:numCache>
                <c:formatCode>General</c:formatCode>
                <c:ptCount val="20"/>
                <c:pt idx="0">
                  <c:v>42</c:v>
                </c:pt>
                <c:pt idx="1">
                  <c:v>68</c:v>
                </c:pt>
                <c:pt idx="2">
                  <c:v>52</c:v>
                </c:pt>
                <c:pt idx="3">
                  <c:v>139</c:v>
                </c:pt>
                <c:pt idx="4">
                  <c:v>110</c:v>
                </c:pt>
                <c:pt idx="5">
                  <c:v>142</c:v>
                </c:pt>
                <c:pt idx="6">
                  <c:v>260</c:v>
                </c:pt>
                <c:pt idx="7">
                  <c:v>190</c:v>
                </c:pt>
                <c:pt idx="8">
                  <c:v>170</c:v>
                </c:pt>
                <c:pt idx="9">
                  <c:v>189</c:v>
                </c:pt>
                <c:pt idx="10">
                  <c:v>195</c:v>
                </c:pt>
                <c:pt idx="11">
                  <c:v>200</c:v>
                </c:pt>
                <c:pt idx="12">
                  <c:v>285</c:v>
                </c:pt>
                <c:pt idx="13">
                  <c:v>215</c:v>
                </c:pt>
                <c:pt idx="14">
                  <c:v>220</c:v>
                </c:pt>
                <c:pt idx="15">
                  <c:v>186</c:v>
                </c:pt>
                <c:pt idx="16">
                  <c:v>237</c:v>
                </c:pt>
                <c:pt idx="17">
                  <c:v>242</c:v>
                </c:pt>
                <c:pt idx="18">
                  <c:v>215</c:v>
                </c:pt>
                <c:pt idx="19">
                  <c:v>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C-E145-8F0D-FF658B3FD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085008"/>
        <c:axId val="453234496"/>
      </c:scatterChart>
      <c:valAx>
        <c:axId val="45308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53234496"/>
        <c:crosses val="autoZero"/>
        <c:crossBetween val="midCat"/>
      </c:valAx>
      <c:valAx>
        <c:axId val="4532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5308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time'!$G$129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time'!$F$130:$F$147</c:f>
              <c:numCache>
                <c:formatCode>General</c:formatCode>
                <c:ptCount val="18"/>
                <c:pt idx="0">
                  <c:v>28</c:v>
                </c:pt>
                <c:pt idx="1">
                  <c:v>45</c:v>
                </c:pt>
                <c:pt idx="2">
                  <c:v>51</c:v>
                </c:pt>
                <c:pt idx="3">
                  <c:v>65</c:v>
                </c:pt>
                <c:pt idx="4">
                  <c:v>75</c:v>
                </c:pt>
                <c:pt idx="5">
                  <c:v>79</c:v>
                </c:pt>
                <c:pt idx="6">
                  <c:v>81</c:v>
                </c:pt>
                <c:pt idx="7">
                  <c:v>87</c:v>
                </c:pt>
                <c:pt idx="8">
                  <c:v>90</c:v>
                </c:pt>
                <c:pt idx="9">
                  <c:v>92</c:v>
                </c:pt>
                <c:pt idx="10">
                  <c:v>102</c:v>
                </c:pt>
                <c:pt idx="11">
                  <c:v>127</c:v>
                </c:pt>
                <c:pt idx="12">
                  <c:v>136</c:v>
                </c:pt>
                <c:pt idx="13">
                  <c:v>148</c:v>
                </c:pt>
                <c:pt idx="14">
                  <c:v>152</c:v>
                </c:pt>
                <c:pt idx="15">
                  <c:v>160</c:v>
                </c:pt>
                <c:pt idx="16">
                  <c:v>169</c:v>
                </c:pt>
                <c:pt idx="17">
                  <c:v>178</c:v>
                </c:pt>
              </c:numCache>
            </c:numRef>
          </c:xVal>
          <c:yVal>
            <c:numRef>
              <c:f>'Real time'!$G$130:$G$147</c:f>
              <c:numCache>
                <c:formatCode>General</c:formatCode>
                <c:ptCount val="18"/>
                <c:pt idx="0">
                  <c:v>42</c:v>
                </c:pt>
                <c:pt idx="1">
                  <c:v>68</c:v>
                </c:pt>
                <c:pt idx="2">
                  <c:v>52</c:v>
                </c:pt>
                <c:pt idx="3">
                  <c:v>139</c:v>
                </c:pt>
                <c:pt idx="4">
                  <c:v>110</c:v>
                </c:pt>
                <c:pt idx="5">
                  <c:v>142</c:v>
                </c:pt>
                <c:pt idx="6">
                  <c:v>190</c:v>
                </c:pt>
                <c:pt idx="7">
                  <c:v>170</c:v>
                </c:pt>
                <c:pt idx="8">
                  <c:v>189</c:v>
                </c:pt>
                <c:pt idx="9">
                  <c:v>195</c:v>
                </c:pt>
                <c:pt idx="10">
                  <c:v>200</c:v>
                </c:pt>
                <c:pt idx="11">
                  <c:v>215</c:v>
                </c:pt>
                <c:pt idx="12">
                  <c:v>220</c:v>
                </c:pt>
                <c:pt idx="13">
                  <c:v>186</c:v>
                </c:pt>
                <c:pt idx="14">
                  <c:v>237</c:v>
                </c:pt>
                <c:pt idx="15">
                  <c:v>242</c:v>
                </c:pt>
                <c:pt idx="16">
                  <c:v>215</c:v>
                </c:pt>
                <c:pt idx="17">
                  <c:v>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5-214D-A86C-9667995A5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06256"/>
        <c:axId val="108468048"/>
      </c:scatterChart>
      <c:valAx>
        <c:axId val="10860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8468048"/>
        <c:crosses val="autoZero"/>
        <c:crossBetween val="midCat"/>
      </c:valAx>
      <c:valAx>
        <c:axId val="1084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860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'Real time'!$G$129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'Real time'!$F$130:$F$147</c:f>
              <c:numCache>
                <c:formatCode>General</c:formatCode>
                <c:ptCount val="18"/>
                <c:pt idx="0">
                  <c:v>28</c:v>
                </c:pt>
                <c:pt idx="1">
                  <c:v>45</c:v>
                </c:pt>
                <c:pt idx="2">
                  <c:v>51</c:v>
                </c:pt>
                <c:pt idx="3">
                  <c:v>65</c:v>
                </c:pt>
                <c:pt idx="4">
                  <c:v>75</c:v>
                </c:pt>
                <c:pt idx="5">
                  <c:v>79</c:v>
                </c:pt>
                <c:pt idx="6">
                  <c:v>81</c:v>
                </c:pt>
                <c:pt idx="7">
                  <c:v>87</c:v>
                </c:pt>
                <c:pt idx="8">
                  <c:v>90</c:v>
                </c:pt>
                <c:pt idx="9">
                  <c:v>92</c:v>
                </c:pt>
                <c:pt idx="10">
                  <c:v>102</c:v>
                </c:pt>
                <c:pt idx="11">
                  <c:v>127</c:v>
                </c:pt>
                <c:pt idx="12">
                  <c:v>136</c:v>
                </c:pt>
                <c:pt idx="13">
                  <c:v>148</c:v>
                </c:pt>
                <c:pt idx="14">
                  <c:v>152</c:v>
                </c:pt>
                <c:pt idx="15">
                  <c:v>160</c:v>
                </c:pt>
                <c:pt idx="16">
                  <c:v>169</c:v>
                </c:pt>
                <c:pt idx="17">
                  <c:v>178</c:v>
                </c:pt>
              </c:numCache>
            </c:numRef>
          </c:xVal>
          <c:yVal>
            <c:numRef>
              <c:f>'Real time'!$G$130:$G$147</c:f>
              <c:numCache>
                <c:formatCode>General</c:formatCode>
                <c:ptCount val="18"/>
                <c:pt idx="0">
                  <c:v>42</c:v>
                </c:pt>
                <c:pt idx="1">
                  <c:v>68</c:v>
                </c:pt>
                <c:pt idx="2">
                  <c:v>52</c:v>
                </c:pt>
                <c:pt idx="3">
                  <c:v>139</c:v>
                </c:pt>
                <c:pt idx="4">
                  <c:v>110</c:v>
                </c:pt>
                <c:pt idx="5">
                  <c:v>142</c:v>
                </c:pt>
                <c:pt idx="6">
                  <c:v>190</c:v>
                </c:pt>
                <c:pt idx="7">
                  <c:v>170</c:v>
                </c:pt>
                <c:pt idx="8">
                  <c:v>189</c:v>
                </c:pt>
                <c:pt idx="9">
                  <c:v>195</c:v>
                </c:pt>
                <c:pt idx="10">
                  <c:v>200</c:v>
                </c:pt>
                <c:pt idx="11">
                  <c:v>215</c:v>
                </c:pt>
                <c:pt idx="12">
                  <c:v>220</c:v>
                </c:pt>
                <c:pt idx="13">
                  <c:v>186</c:v>
                </c:pt>
                <c:pt idx="14">
                  <c:v>237</c:v>
                </c:pt>
                <c:pt idx="15">
                  <c:v>242</c:v>
                </c:pt>
                <c:pt idx="16">
                  <c:v>215</c:v>
                </c:pt>
                <c:pt idx="17">
                  <c:v>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A9-8F4F-84DB-1692C747D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06256"/>
        <c:axId val="108468048"/>
      </c:scatterChart>
      <c:valAx>
        <c:axId val="10860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8468048"/>
        <c:crosses val="autoZero"/>
        <c:crossBetween val="midCat"/>
      </c:valAx>
      <c:valAx>
        <c:axId val="1084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860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New!$G$21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New!$F$22:$F$71</c:f>
              <c:numCache>
                <c:formatCode>General</c:formatCode>
                <c:ptCount val="50"/>
                <c:pt idx="0">
                  <c:v>28</c:v>
                </c:pt>
                <c:pt idx="1">
                  <c:v>43</c:v>
                </c:pt>
                <c:pt idx="2">
                  <c:v>45</c:v>
                </c:pt>
                <c:pt idx="3">
                  <c:v>52</c:v>
                </c:pt>
                <c:pt idx="4">
                  <c:v>61</c:v>
                </c:pt>
                <c:pt idx="5">
                  <c:v>65</c:v>
                </c:pt>
                <c:pt idx="6">
                  <c:v>68</c:v>
                </c:pt>
                <c:pt idx="7">
                  <c:v>70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79</c:v>
                </c:pt>
                <c:pt idx="14">
                  <c:v>81</c:v>
                </c:pt>
                <c:pt idx="15">
                  <c:v>83</c:v>
                </c:pt>
                <c:pt idx="16">
                  <c:v>84</c:v>
                </c:pt>
                <c:pt idx="17">
                  <c:v>85</c:v>
                </c:pt>
                <c:pt idx="18">
                  <c:v>90</c:v>
                </c:pt>
                <c:pt idx="19">
                  <c:v>92</c:v>
                </c:pt>
                <c:pt idx="20">
                  <c:v>92</c:v>
                </c:pt>
                <c:pt idx="21">
                  <c:v>100</c:v>
                </c:pt>
                <c:pt idx="22">
                  <c:v>102</c:v>
                </c:pt>
                <c:pt idx="23">
                  <c:v>105</c:v>
                </c:pt>
                <c:pt idx="24">
                  <c:v>108</c:v>
                </c:pt>
                <c:pt idx="25">
                  <c:v>108</c:v>
                </c:pt>
                <c:pt idx="26">
                  <c:v>110</c:v>
                </c:pt>
                <c:pt idx="27">
                  <c:v>114</c:v>
                </c:pt>
                <c:pt idx="28">
                  <c:v>115</c:v>
                </c:pt>
                <c:pt idx="29">
                  <c:v>117</c:v>
                </c:pt>
                <c:pt idx="30">
                  <c:v>117</c:v>
                </c:pt>
                <c:pt idx="31">
                  <c:v>118</c:v>
                </c:pt>
                <c:pt idx="32">
                  <c:v>122</c:v>
                </c:pt>
                <c:pt idx="33">
                  <c:v>125</c:v>
                </c:pt>
                <c:pt idx="34">
                  <c:v>127</c:v>
                </c:pt>
                <c:pt idx="35">
                  <c:v>127</c:v>
                </c:pt>
                <c:pt idx="36">
                  <c:v>135</c:v>
                </c:pt>
                <c:pt idx="37">
                  <c:v>136</c:v>
                </c:pt>
                <c:pt idx="38">
                  <c:v>143</c:v>
                </c:pt>
                <c:pt idx="39">
                  <c:v>153</c:v>
                </c:pt>
                <c:pt idx="40">
                  <c:v>156</c:v>
                </c:pt>
                <c:pt idx="41">
                  <c:v>162</c:v>
                </c:pt>
                <c:pt idx="42">
                  <c:v>162</c:v>
                </c:pt>
                <c:pt idx="43">
                  <c:v>183</c:v>
                </c:pt>
                <c:pt idx="44">
                  <c:v>189</c:v>
                </c:pt>
                <c:pt idx="45">
                  <c:v>193</c:v>
                </c:pt>
                <c:pt idx="46">
                  <c:v>195</c:v>
                </c:pt>
                <c:pt idx="47">
                  <c:v>209</c:v>
                </c:pt>
                <c:pt idx="48">
                  <c:v>310</c:v>
                </c:pt>
                <c:pt idx="49">
                  <c:v>849</c:v>
                </c:pt>
              </c:numCache>
            </c:numRef>
          </c:xVal>
          <c:yVal>
            <c:numRef>
              <c:f>New!$G$22:$G$71</c:f>
              <c:numCache>
                <c:formatCode>General</c:formatCode>
                <c:ptCount val="50"/>
                <c:pt idx="0">
                  <c:v>42</c:v>
                </c:pt>
                <c:pt idx="1">
                  <c:v>150</c:v>
                </c:pt>
                <c:pt idx="2">
                  <c:v>68</c:v>
                </c:pt>
                <c:pt idx="3" formatCode="0">
                  <c:v>274.09199999999998</c:v>
                </c:pt>
                <c:pt idx="4" formatCode="0">
                  <c:v>336.84199999999998</c:v>
                </c:pt>
                <c:pt idx="5">
                  <c:v>139</c:v>
                </c:pt>
                <c:pt idx="6" formatCode="0">
                  <c:v>512.04</c:v>
                </c:pt>
                <c:pt idx="7" formatCode="0">
                  <c:v>379.512</c:v>
                </c:pt>
                <c:pt idx="8" formatCode="0">
                  <c:v>397.58399999999995</c:v>
                </c:pt>
                <c:pt idx="9" formatCode="0">
                  <c:v>659.62799999999993</c:v>
                </c:pt>
                <c:pt idx="10" formatCode="0">
                  <c:v>482.92399999999998</c:v>
                </c:pt>
                <c:pt idx="11">
                  <c:v>110</c:v>
                </c:pt>
                <c:pt idx="12">
                  <c:v>1100</c:v>
                </c:pt>
                <c:pt idx="13" formatCode="0">
                  <c:v>475.89599999999996</c:v>
                </c:pt>
                <c:pt idx="14" formatCode="0">
                  <c:v>691.25399999999991</c:v>
                </c:pt>
                <c:pt idx="15" formatCode="0">
                  <c:v>466.6592</c:v>
                </c:pt>
                <c:pt idx="16" formatCode="0">
                  <c:v>421.67999999999995</c:v>
                </c:pt>
                <c:pt idx="17" formatCode="0">
                  <c:v>725.39</c:v>
                </c:pt>
                <c:pt idx="18" formatCode="0">
                  <c:v>406.61999999999995</c:v>
                </c:pt>
                <c:pt idx="19">
                  <c:v>195</c:v>
                </c:pt>
                <c:pt idx="20" formatCode="0">
                  <c:v>831.31200000000001</c:v>
                </c:pt>
                <c:pt idx="21" formatCode="0">
                  <c:v>702.79999999999984</c:v>
                </c:pt>
                <c:pt idx="22" formatCode="0">
                  <c:v>921.67199999999991</c:v>
                </c:pt>
                <c:pt idx="23" formatCode="0">
                  <c:v>2196.2953367875648</c:v>
                </c:pt>
                <c:pt idx="24" formatCode="0">
                  <c:v>650.59199999999998</c:v>
                </c:pt>
                <c:pt idx="25">
                  <c:v>1276</c:v>
                </c:pt>
                <c:pt idx="26">
                  <c:v>884</c:v>
                </c:pt>
                <c:pt idx="27" formatCode="0">
                  <c:v>502</c:v>
                </c:pt>
                <c:pt idx="28" formatCode="0">
                  <c:v>692.75999999999988</c:v>
                </c:pt>
                <c:pt idx="29" formatCode="0">
                  <c:v>728.30159999999989</c:v>
                </c:pt>
                <c:pt idx="30" formatCode="0">
                  <c:v>998.47799999999984</c:v>
                </c:pt>
                <c:pt idx="31" formatCode="0">
                  <c:v>1795.0673575129535</c:v>
                </c:pt>
                <c:pt idx="32">
                  <c:v>1045</c:v>
                </c:pt>
                <c:pt idx="33" formatCode="0">
                  <c:v>1004</c:v>
                </c:pt>
                <c:pt idx="34">
                  <c:v>215</c:v>
                </c:pt>
                <c:pt idx="35" formatCode="0">
                  <c:v>1020.064</c:v>
                </c:pt>
                <c:pt idx="36">
                  <c:v>1053</c:v>
                </c:pt>
                <c:pt idx="37" formatCode="0">
                  <c:v>1024.08</c:v>
                </c:pt>
                <c:pt idx="38" formatCode="0">
                  <c:v>861.4319999999999</c:v>
                </c:pt>
                <c:pt idx="39" formatCode="0">
                  <c:v>1228.896</c:v>
                </c:pt>
                <c:pt idx="40">
                  <c:v>1025</c:v>
                </c:pt>
                <c:pt idx="41" formatCode="0">
                  <c:v>1305</c:v>
                </c:pt>
                <c:pt idx="42" formatCode="0">
                  <c:v>1903.7602072538862</c:v>
                </c:pt>
                <c:pt idx="43">
                  <c:v>460</c:v>
                </c:pt>
                <c:pt idx="44">
                  <c:v>315</c:v>
                </c:pt>
                <c:pt idx="45" formatCode="0">
                  <c:v>734</c:v>
                </c:pt>
                <c:pt idx="46">
                  <c:v>322</c:v>
                </c:pt>
                <c:pt idx="47" formatCode="0">
                  <c:v>1993.4419999999996</c:v>
                </c:pt>
                <c:pt idx="48" formatCode="0">
                  <c:v>933.7199999999998</c:v>
                </c:pt>
                <c:pt idx="49">
                  <c:v>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CE-6145-80E4-3EB75B025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868944"/>
        <c:axId val="446961296"/>
      </c:scatterChart>
      <c:valAx>
        <c:axId val="72186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6961296"/>
        <c:crosses val="autoZero"/>
        <c:crossBetween val="midCat"/>
        <c:majorUnit val="50"/>
        <c:minorUnit val="50"/>
      </c:valAx>
      <c:valAx>
        <c:axId val="4469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2186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New!$G$607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New!$F$608:$F$641</c:f>
              <c:numCache>
                <c:formatCode>General</c:formatCode>
                <c:ptCount val="34"/>
                <c:pt idx="0">
                  <c:v>28</c:v>
                </c:pt>
                <c:pt idx="1">
                  <c:v>43</c:v>
                </c:pt>
                <c:pt idx="2">
                  <c:v>45</c:v>
                </c:pt>
                <c:pt idx="3">
                  <c:v>52</c:v>
                </c:pt>
                <c:pt idx="4">
                  <c:v>61</c:v>
                </c:pt>
                <c:pt idx="5">
                  <c:v>65</c:v>
                </c:pt>
                <c:pt idx="6">
                  <c:v>68</c:v>
                </c:pt>
                <c:pt idx="7">
                  <c:v>70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79</c:v>
                </c:pt>
                <c:pt idx="12">
                  <c:v>81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90</c:v>
                </c:pt>
                <c:pt idx="17">
                  <c:v>92</c:v>
                </c:pt>
                <c:pt idx="18">
                  <c:v>100</c:v>
                </c:pt>
                <c:pt idx="19">
                  <c:v>102</c:v>
                </c:pt>
                <c:pt idx="20">
                  <c:v>108</c:v>
                </c:pt>
                <c:pt idx="21">
                  <c:v>110</c:v>
                </c:pt>
                <c:pt idx="22">
                  <c:v>115</c:v>
                </c:pt>
                <c:pt idx="23">
                  <c:v>117</c:v>
                </c:pt>
                <c:pt idx="24">
                  <c:v>117</c:v>
                </c:pt>
                <c:pt idx="25">
                  <c:v>122</c:v>
                </c:pt>
                <c:pt idx="26">
                  <c:v>125</c:v>
                </c:pt>
                <c:pt idx="27">
                  <c:v>127</c:v>
                </c:pt>
                <c:pt idx="28">
                  <c:v>135</c:v>
                </c:pt>
                <c:pt idx="29">
                  <c:v>136</c:v>
                </c:pt>
                <c:pt idx="30">
                  <c:v>143</c:v>
                </c:pt>
                <c:pt idx="31">
                  <c:v>153</c:v>
                </c:pt>
                <c:pt idx="32">
                  <c:v>156</c:v>
                </c:pt>
                <c:pt idx="33">
                  <c:v>162</c:v>
                </c:pt>
              </c:numCache>
            </c:numRef>
          </c:xVal>
          <c:yVal>
            <c:numRef>
              <c:f>New!$G$608:$G$641</c:f>
              <c:numCache>
                <c:formatCode>General</c:formatCode>
                <c:ptCount val="34"/>
                <c:pt idx="0">
                  <c:v>42</c:v>
                </c:pt>
                <c:pt idx="1">
                  <c:v>150</c:v>
                </c:pt>
                <c:pt idx="2">
                  <c:v>68</c:v>
                </c:pt>
                <c:pt idx="3" formatCode="0">
                  <c:v>274.09199999999998</c:v>
                </c:pt>
                <c:pt idx="4" formatCode="0">
                  <c:v>336.84199999999998</c:v>
                </c:pt>
                <c:pt idx="5">
                  <c:v>139</c:v>
                </c:pt>
                <c:pt idx="6" formatCode="0">
                  <c:v>512.04</c:v>
                </c:pt>
                <c:pt idx="7" formatCode="0">
                  <c:v>379.512</c:v>
                </c:pt>
                <c:pt idx="8" formatCode="0">
                  <c:v>397.58399999999995</c:v>
                </c:pt>
                <c:pt idx="9" formatCode="0">
                  <c:v>659.62799999999993</c:v>
                </c:pt>
                <c:pt idx="10" formatCode="0">
                  <c:v>482.92399999999998</c:v>
                </c:pt>
                <c:pt idx="11" formatCode="0">
                  <c:v>475.89599999999996</c:v>
                </c:pt>
                <c:pt idx="12" formatCode="0">
                  <c:v>691.25399999999991</c:v>
                </c:pt>
                <c:pt idx="13" formatCode="0">
                  <c:v>466.6592</c:v>
                </c:pt>
                <c:pt idx="14" formatCode="0">
                  <c:v>421.67999999999995</c:v>
                </c:pt>
                <c:pt idx="15" formatCode="0">
                  <c:v>725.39</c:v>
                </c:pt>
                <c:pt idx="16" formatCode="0">
                  <c:v>406.61999999999995</c:v>
                </c:pt>
                <c:pt idx="17" formatCode="0">
                  <c:v>831.31200000000001</c:v>
                </c:pt>
                <c:pt idx="18" formatCode="0">
                  <c:v>702.79999999999984</c:v>
                </c:pt>
                <c:pt idx="19" formatCode="0">
                  <c:v>921.67199999999991</c:v>
                </c:pt>
                <c:pt idx="20" formatCode="0">
                  <c:v>650.59199999999998</c:v>
                </c:pt>
                <c:pt idx="21">
                  <c:v>884</c:v>
                </c:pt>
                <c:pt idx="22" formatCode="0">
                  <c:v>692.75999999999988</c:v>
                </c:pt>
                <c:pt idx="23" formatCode="0">
                  <c:v>728.30159999999989</c:v>
                </c:pt>
                <c:pt idx="24" formatCode="0">
                  <c:v>998.47799999999984</c:v>
                </c:pt>
                <c:pt idx="25">
                  <c:v>1045</c:v>
                </c:pt>
                <c:pt idx="26" formatCode="0">
                  <c:v>1004</c:v>
                </c:pt>
                <c:pt idx="27" formatCode="0">
                  <c:v>1020.064</c:v>
                </c:pt>
                <c:pt idx="28">
                  <c:v>1053</c:v>
                </c:pt>
                <c:pt idx="29" formatCode="0">
                  <c:v>1024.08</c:v>
                </c:pt>
                <c:pt idx="30" formatCode="0">
                  <c:v>861.4319999999999</c:v>
                </c:pt>
                <c:pt idx="31" formatCode="0">
                  <c:v>1228.896</c:v>
                </c:pt>
                <c:pt idx="32">
                  <c:v>1025</c:v>
                </c:pt>
                <c:pt idx="33" formatCode="0">
                  <c:v>1305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2-ED40-A9E1-9717B3452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762560"/>
        <c:axId val="164396384"/>
      </c:scatterChart>
      <c:valAx>
        <c:axId val="7217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4396384"/>
        <c:crosses val="autoZero"/>
        <c:crossBetween val="midCat"/>
        <c:majorUnit val="50"/>
        <c:minorUnit val="50"/>
      </c:valAx>
      <c:valAx>
        <c:axId val="16439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217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New!$G$607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New!$F$608:$F$641</c:f>
              <c:numCache>
                <c:formatCode>General</c:formatCode>
                <c:ptCount val="34"/>
                <c:pt idx="0">
                  <c:v>28</c:v>
                </c:pt>
                <c:pt idx="1">
                  <c:v>43</c:v>
                </c:pt>
                <c:pt idx="2">
                  <c:v>45</c:v>
                </c:pt>
                <c:pt idx="3">
                  <c:v>52</c:v>
                </c:pt>
                <c:pt idx="4">
                  <c:v>61</c:v>
                </c:pt>
                <c:pt idx="5">
                  <c:v>65</c:v>
                </c:pt>
                <c:pt idx="6">
                  <c:v>68</c:v>
                </c:pt>
                <c:pt idx="7">
                  <c:v>70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79</c:v>
                </c:pt>
                <c:pt idx="12">
                  <c:v>81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90</c:v>
                </c:pt>
                <c:pt idx="17">
                  <c:v>92</c:v>
                </c:pt>
                <c:pt idx="18">
                  <c:v>100</c:v>
                </c:pt>
                <c:pt idx="19">
                  <c:v>102</c:v>
                </c:pt>
                <c:pt idx="20">
                  <c:v>108</c:v>
                </c:pt>
                <c:pt idx="21">
                  <c:v>110</c:v>
                </c:pt>
                <c:pt idx="22">
                  <c:v>115</c:v>
                </c:pt>
                <c:pt idx="23">
                  <c:v>117</c:v>
                </c:pt>
                <c:pt idx="24">
                  <c:v>117</c:v>
                </c:pt>
                <c:pt idx="25">
                  <c:v>122</c:v>
                </c:pt>
                <c:pt idx="26">
                  <c:v>125</c:v>
                </c:pt>
                <c:pt idx="27">
                  <c:v>127</c:v>
                </c:pt>
                <c:pt idx="28">
                  <c:v>135</c:v>
                </c:pt>
                <c:pt idx="29">
                  <c:v>136</c:v>
                </c:pt>
                <c:pt idx="30">
                  <c:v>143</c:v>
                </c:pt>
                <c:pt idx="31">
                  <c:v>153</c:v>
                </c:pt>
                <c:pt idx="32">
                  <c:v>156</c:v>
                </c:pt>
                <c:pt idx="33">
                  <c:v>162</c:v>
                </c:pt>
              </c:numCache>
            </c:numRef>
          </c:xVal>
          <c:yVal>
            <c:numRef>
              <c:f>New!$G$608:$G$641</c:f>
              <c:numCache>
                <c:formatCode>General</c:formatCode>
                <c:ptCount val="34"/>
                <c:pt idx="0">
                  <c:v>42</c:v>
                </c:pt>
                <c:pt idx="1">
                  <c:v>150</c:v>
                </c:pt>
                <c:pt idx="2">
                  <c:v>68</c:v>
                </c:pt>
                <c:pt idx="3" formatCode="0">
                  <c:v>274.09199999999998</c:v>
                </c:pt>
                <c:pt idx="4" formatCode="0">
                  <c:v>336.84199999999998</c:v>
                </c:pt>
                <c:pt idx="5">
                  <c:v>139</c:v>
                </c:pt>
                <c:pt idx="6" formatCode="0">
                  <c:v>512.04</c:v>
                </c:pt>
                <c:pt idx="7" formatCode="0">
                  <c:v>379.512</c:v>
                </c:pt>
                <c:pt idx="8" formatCode="0">
                  <c:v>397.58399999999995</c:v>
                </c:pt>
                <c:pt idx="9" formatCode="0">
                  <c:v>659.62799999999993</c:v>
                </c:pt>
                <c:pt idx="10" formatCode="0">
                  <c:v>482.92399999999998</c:v>
                </c:pt>
                <c:pt idx="11" formatCode="0">
                  <c:v>475.89599999999996</c:v>
                </c:pt>
                <c:pt idx="12" formatCode="0">
                  <c:v>691.25399999999991</c:v>
                </c:pt>
                <c:pt idx="13" formatCode="0">
                  <c:v>466.6592</c:v>
                </c:pt>
                <c:pt idx="14" formatCode="0">
                  <c:v>421.67999999999995</c:v>
                </c:pt>
                <c:pt idx="15" formatCode="0">
                  <c:v>725.39</c:v>
                </c:pt>
                <c:pt idx="16" formatCode="0">
                  <c:v>406.61999999999995</c:v>
                </c:pt>
                <c:pt idx="17" formatCode="0">
                  <c:v>831.31200000000001</c:v>
                </c:pt>
                <c:pt idx="18" formatCode="0">
                  <c:v>702.79999999999984</c:v>
                </c:pt>
                <c:pt idx="19" formatCode="0">
                  <c:v>921.67199999999991</c:v>
                </c:pt>
                <c:pt idx="20" formatCode="0">
                  <c:v>650.59199999999998</c:v>
                </c:pt>
                <c:pt idx="21">
                  <c:v>884</c:v>
                </c:pt>
                <c:pt idx="22" formatCode="0">
                  <c:v>692.75999999999988</c:v>
                </c:pt>
                <c:pt idx="23" formatCode="0">
                  <c:v>728.30159999999989</c:v>
                </c:pt>
                <c:pt idx="24" formatCode="0">
                  <c:v>998.47799999999984</c:v>
                </c:pt>
                <c:pt idx="25">
                  <c:v>1045</c:v>
                </c:pt>
                <c:pt idx="26" formatCode="0">
                  <c:v>1004</c:v>
                </c:pt>
                <c:pt idx="27" formatCode="0">
                  <c:v>1020.064</c:v>
                </c:pt>
                <c:pt idx="28">
                  <c:v>1053</c:v>
                </c:pt>
                <c:pt idx="29" formatCode="0">
                  <c:v>1024.08</c:v>
                </c:pt>
                <c:pt idx="30" formatCode="0">
                  <c:v>861.4319999999999</c:v>
                </c:pt>
                <c:pt idx="31" formatCode="0">
                  <c:v>1228.896</c:v>
                </c:pt>
                <c:pt idx="32">
                  <c:v>1025</c:v>
                </c:pt>
                <c:pt idx="33" formatCode="0">
                  <c:v>1305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9F-B94C-A5C1-259FD33E6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762560"/>
        <c:axId val="164396384"/>
      </c:scatterChart>
      <c:valAx>
        <c:axId val="7217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4396384"/>
        <c:crosses val="autoZero"/>
        <c:crossBetween val="midCat"/>
        <c:majorUnit val="50"/>
      </c:valAx>
      <c:valAx>
        <c:axId val="16439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217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'C'!$G$21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'C'!$F$22:$F$41</c:f>
              <c:numCache>
                <c:formatCode>General</c:formatCode>
                <c:ptCount val="20"/>
                <c:pt idx="0">
                  <c:v>25</c:v>
                </c:pt>
                <c:pt idx="1">
                  <c:v>28</c:v>
                </c:pt>
                <c:pt idx="2">
                  <c:v>43</c:v>
                </c:pt>
                <c:pt idx="3">
                  <c:v>45</c:v>
                </c:pt>
                <c:pt idx="4">
                  <c:v>51</c:v>
                </c:pt>
                <c:pt idx="5">
                  <c:v>65</c:v>
                </c:pt>
                <c:pt idx="6">
                  <c:v>75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87</c:v>
                </c:pt>
                <c:pt idx="11">
                  <c:v>90</c:v>
                </c:pt>
                <c:pt idx="12">
                  <c:v>92</c:v>
                </c:pt>
                <c:pt idx="13">
                  <c:v>102</c:v>
                </c:pt>
                <c:pt idx="14">
                  <c:v>127</c:v>
                </c:pt>
                <c:pt idx="15">
                  <c:v>136</c:v>
                </c:pt>
                <c:pt idx="16">
                  <c:v>148</c:v>
                </c:pt>
                <c:pt idx="17">
                  <c:v>152</c:v>
                </c:pt>
                <c:pt idx="18">
                  <c:v>160</c:v>
                </c:pt>
                <c:pt idx="19">
                  <c:v>169</c:v>
                </c:pt>
              </c:numCache>
            </c:numRef>
          </c:xVal>
          <c:yVal>
            <c:numRef>
              <c:f>'C'!$G$22:$G$41</c:f>
              <c:numCache>
                <c:formatCode>General</c:formatCode>
                <c:ptCount val="20"/>
                <c:pt idx="0">
                  <c:v>118</c:v>
                </c:pt>
                <c:pt idx="1">
                  <c:v>42</c:v>
                </c:pt>
                <c:pt idx="2">
                  <c:v>150</c:v>
                </c:pt>
                <c:pt idx="3">
                  <c:v>68</c:v>
                </c:pt>
                <c:pt idx="4">
                  <c:v>52</c:v>
                </c:pt>
                <c:pt idx="5">
                  <c:v>139</c:v>
                </c:pt>
                <c:pt idx="6">
                  <c:v>110</c:v>
                </c:pt>
                <c:pt idx="7">
                  <c:v>142</c:v>
                </c:pt>
                <c:pt idx="8">
                  <c:v>260</c:v>
                </c:pt>
                <c:pt idx="9">
                  <c:v>190</c:v>
                </c:pt>
                <c:pt idx="10">
                  <c:v>170</c:v>
                </c:pt>
                <c:pt idx="11">
                  <c:v>189</c:v>
                </c:pt>
                <c:pt idx="12">
                  <c:v>195</c:v>
                </c:pt>
                <c:pt idx="13">
                  <c:v>200</c:v>
                </c:pt>
                <c:pt idx="14">
                  <c:v>215</c:v>
                </c:pt>
                <c:pt idx="15">
                  <c:v>220</c:v>
                </c:pt>
                <c:pt idx="16">
                  <c:v>186</c:v>
                </c:pt>
                <c:pt idx="17">
                  <c:v>237</c:v>
                </c:pt>
                <c:pt idx="18">
                  <c:v>242</c:v>
                </c:pt>
                <c:pt idx="19">
                  <c:v>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A-4846-A700-681ECB0CA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63664"/>
        <c:axId val="447477232"/>
      </c:scatterChart>
      <c:valAx>
        <c:axId val="16446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7477232"/>
        <c:crosses val="autoZero"/>
        <c:crossBetween val="midCat"/>
        <c:majorUnit val="50"/>
        <c:minorUnit val="50"/>
      </c:valAx>
      <c:valAx>
        <c:axId val="44747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446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'C'!$G$83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'C'!$F$84:$F$102</c:f>
              <c:numCache>
                <c:formatCode>General</c:formatCode>
                <c:ptCount val="19"/>
                <c:pt idx="0">
                  <c:v>25</c:v>
                </c:pt>
                <c:pt idx="1">
                  <c:v>28</c:v>
                </c:pt>
                <c:pt idx="2">
                  <c:v>43</c:v>
                </c:pt>
                <c:pt idx="3">
                  <c:v>45</c:v>
                </c:pt>
                <c:pt idx="4">
                  <c:v>51</c:v>
                </c:pt>
                <c:pt idx="5">
                  <c:v>65</c:v>
                </c:pt>
                <c:pt idx="6">
                  <c:v>75</c:v>
                </c:pt>
                <c:pt idx="7">
                  <c:v>79</c:v>
                </c:pt>
                <c:pt idx="8">
                  <c:v>81</c:v>
                </c:pt>
                <c:pt idx="9">
                  <c:v>87</c:v>
                </c:pt>
                <c:pt idx="10">
                  <c:v>90</c:v>
                </c:pt>
                <c:pt idx="11">
                  <c:v>92</c:v>
                </c:pt>
                <c:pt idx="12">
                  <c:v>102</c:v>
                </c:pt>
                <c:pt idx="13">
                  <c:v>127</c:v>
                </c:pt>
                <c:pt idx="14">
                  <c:v>136</c:v>
                </c:pt>
                <c:pt idx="15">
                  <c:v>148</c:v>
                </c:pt>
                <c:pt idx="16">
                  <c:v>152</c:v>
                </c:pt>
                <c:pt idx="17">
                  <c:v>160</c:v>
                </c:pt>
                <c:pt idx="18">
                  <c:v>169</c:v>
                </c:pt>
              </c:numCache>
            </c:numRef>
          </c:xVal>
          <c:yVal>
            <c:numRef>
              <c:f>'C'!$G$84:$G$102</c:f>
              <c:numCache>
                <c:formatCode>General</c:formatCode>
                <c:ptCount val="19"/>
                <c:pt idx="0">
                  <c:v>118</c:v>
                </c:pt>
                <c:pt idx="1">
                  <c:v>42</c:v>
                </c:pt>
                <c:pt idx="2">
                  <c:v>150</c:v>
                </c:pt>
                <c:pt idx="3">
                  <c:v>68</c:v>
                </c:pt>
                <c:pt idx="4">
                  <c:v>52</c:v>
                </c:pt>
                <c:pt idx="5">
                  <c:v>139</c:v>
                </c:pt>
                <c:pt idx="6">
                  <c:v>110</c:v>
                </c:pt>
                <c:pt idx="7">
                  <c:v>142</c:v>
                </c:pt>
                <c:pt idx="8">
                  <c:v>190</c:v>
                </c:pt>
                <c:pt idx="9">
                  <c:v>170</c:v>
                </c:pt>
                <c:pt idx="10">
                  <c:v>189</c:v>
                </c:pt>
                <c:pt idx="11">
                  <c:v>195</c:v>
                </c:pt>
                <c:pt idx="12">
                  <c:v>200</c:v>
                </c:pt>
                <c:pt idx="13">
                  <c:v>215</c:v>
                </c:pt>
                <c:pt idx="14">
                  <c:v>220</c:v>
                </c:pt>
                <c:pt idx="15">
                  <c:v>186</c:v>
                </c:pt>
                <c:pt idx="16">
                  <c:v>237</c:v>
                </c:pt>
                <c:pt idx="17">
                  <c:v>242</c:v>
                </c:pt>
                <c:pt idx="18">
                  <c:v>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9-3946-9A4C-C28BF9CC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31488"/>
        <c:axId val="110840096"/>
      </c:scatterChart>
      <c:valAx>
        <c:axId val="37783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0840096"/>
        <c:crosses val="autoZero"/>
        <c:crossBetween val="midCat"/>
        <c:majorUnit val="50"/>
        <c:minorUnit val="50"/>
      </c:valAx>
      <c:valAx>
        <c:axId val="1108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783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0.17634259259259263"/>
          <c:w val="0.87130796150481193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'C'!$G$83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'C'!$F$84:$F$102</c:f>
              <c:numCache>
                <c:formatCode>General</c:formatCode>
                <c:ptCount val="19"/>
                <c:pt idx="0">
                  <c:v>25</c:v>
                </c:pt>
                <c:pt idx="1">
                  <c:v>28</c:v>
                </c:pt>
                <c:pt idx="2">
                  <c:v>43</c:v>
                </c:pt>
                <c:pt idx="3">
                  <c:v>45</c:v>
                </c:pt>
                <c:pt idx="4">
                  <c:v>51</c:v>
                </c:pt>
                <c:pt idx="5">
                  <c:v>65</c:v>
                </c:pt>
                <c:pt idx="6">
                  <c:v>75</c:v>
                </c:pt>
                <c:pt idx="7">
                  <c:v>79</c:v>
                </c:pt>
                <c:pt idx="8">
                  <c:v>81</c:v>
                </c:pt>
                <c:pt idx="9">
                  <c:v>87</c:v>
                </c:pt>
                <c:pt idx="10">
                  <c:v>90</c:v>
                </c:pt>
                <c:pt idx="11">
                  <c:v>92</c:v>
                </c:pt>
                <c:pt idx="12">
                  <c:v>102</c:v>
                </c:pt>
                <c:pt idx="13">
                  <c:v>127</c:v>
                </c:pt>
                <c:pt idx="14">
                  <c:v>136</c:v>
                </c:pt>
                <c:pt idx="15">
                  <c:v>148</c:v>
                </c:pt>
                <c:pt idx="16">
                  <c:v>152</c:v>
                </c:pt>
                <c:pt idx="17">
                  <c:v>160</c:v>
                </c:pt>
                <c:pt idx="18">
                  <c:v>169</c:v>
                </c:pt>
              </c:numCache>
            </c:numRef>
          </c:xVal>
          <c:yVal>
            <c:numRef>
              <c:f>'C'!$G$84:$G$102</c:f>
              <c:numCache>
                <c:formatCode>General</c:formatCode>
                <c:ptCount val="19"/>
                <c:pt idx="0">
                  <c:v>118</c:v>
                </c:pt>
                <c:pt idx="1">
                  <c:v>42</c:v>
                </c:pt>
                <c:pt idx="2">
                  <c:v>150</c:v>
                </c:pt>
                <c:pt idx="3">
                  <c:v>68</c:v>
                </c:pt>
                <c:pt idx="4">
                  <c:v>52</c:v>
                </c:pt>
                <c:pt idx="5">
                  <c:v>139</c:v>
                </c:pt>
                <c:pt idx="6">
                  <c:v>110</c:v>
                </c:pt>
                <c:pt idx="7">
                  <c:v>142</c:v>
                </c:pt>
                <c:pt idx="8">
                  <c:v>190</c:v>
                </c:pt>
                <c:pt idx="9">
                  <c:v>170</c:v>
                </c:pt>
                <c:pt idx="10">
                  <c:v>189</c:v>
                </c:pt>
                <c:pt idx="11">
                  <c:v>195</c:v>
                </c:pt>
                <c:pt idx="12">
                  <c:v>200</c:v>
                </c:pt>
                <c:pt idx="13">
                  <c:v>215</c:v>
                </c:pt>
                <c:pt idx="14">
                  <c:v>220</c:v>
                </c:pt>
                <c:pt idx="15">
                  <c:v>186</c:v>
                </c:pt>
                <c:pt idx="16">
                  <c:v>237</c:v>
                </c:pt>
                <c:pt idx="17">
                  <c:v>242</c:v>
                </c:pt>
                <c:pt idx="18">
                  <c:v>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0D-7146-81A1-BBA41D8FE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31488"/>
        <c:axId val="110840096"/>
      </c:scatterChart>
      <c:valAx>
        <c:axId val="37783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0840096"/>
        <c:crosses val="autoZero"/>
        <c:crossBetween val="midCat"/>
        <c:majorUnit val="50"/>
        <c:minorUnit val="50"/>
      </c:valAx>
      <c:valAx>
        <c:axId val="1108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783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Java!$G$21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Java!$F$22:$F$91</c:f>
              <c:numCache>
                <c:formatCode>General</c:formatCode>
                <c:ptCount val="70"/>
                <c:pt idx="0">
                  <c:v>46</c:v>
                </c:pt>
                <c:pt idx="1">
                  <c:v>52</c:v>
                </c:pt>
                <c:pt idx="2">
                  <c:v>61</c:v>
                </c:pt>
                <c:pt idx="3">
                  <c:v>68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  <c:pt idx="9">
                  <c:v>76</c:v>
                </c:pt>
                <c:pt idx="10">
                  <c:v>79</c:v>
                </c:pt>
                <c:pt idx="11">
                  <c:v>80</c:v>
                </c:pt>
                <c:pt idx="12">
                  <c:v>81</c:v>
                </c:pt>
                <c:pt idx="13">
                  <c:v>83</c:v>
                </c:pt>
                <c:pt idx="14">
                  <c:v>83</c:v>
                </c:pt>
                <c:pt idx="15">
                  <c:v>84</c:v>
                </c:pt>
                <c:pt idx="16">
                  <c:v>85</c:v>
                </c:pt>
                <c:pt idx="17">
                  <c:v>90</c:v>
                </c:pt>
                <c:pt idx="18">
                  <c:v>92</c:v>
                </c:pt>
                <c:pt idx="19">
                  <c:v>100</c:v>
                </c:pt>
                <c:pt idx="20">
                  <c:v>102</c:v>
                </c:pt>
                <c:pt idx="21">
                  <c:v>105</c:v>
                </c:pt>
                <c:pt idx="22">
                  <c:v>108</c:v>
                </c:pt>
                <c:pt idx="23">
                  <c:v>108</c:v>
                </c:pt>
                <c:pt idx="24">
                  <c:v>110</c:v>
                </c:pt>
                <c:pt idx="25">
                  <c:v>114</c:v>
                </c:pt>
                <c:pt idx="26">
                  <c:v>114</c:v>
                </c:pt>
                <c:pt idx="27">
                  <c:v>115</c:v>
                </c:pt>
                <c:pt idx="28">
                  <c:v>115</c:v>
                </c:pt>
                <c:pt idx="29">
                  <c:v>115</c:v>
                </c:pt>
                <c:pt idx="30">
                  <c:v>117</c:v>
                </c:pt>
                <c:pt idx="31">
                  <c:v>117</c:v>
                </c:pt>
                <c:pt idx="32">
                  <c:v>118</c:v>
                </c:pt>
                <c:pt idx="33">
                  <c:v>122</c:v>
                </c:pt>
                <c:pt idx="34">
                  <c:v>125</c:v>
                </c:pt>
                <c:pt idx="35">
                  <c:v>127</c:v>
                </c:pt>
                <c:pt idx="36">
                  <c:v>135</c:v>
                </c:pt>
                <c:pt idx="37">
                  <c:v>136</c:v>
                </c:pt>
                <c:pt idx="38">
                  <c:v>143</c:v>
                </c:pt>
                <c:pt idx="39">
                  <c:v>152</c:v>
                </c:pt>
                <c:pt idx="40">
                  <c:v>153</c:v>
                </c:pt>
                <c:pt idx="41">
                  <c:v>156</c:v>
                </c:pt>
                <c:pt idx="42">
                  <c:v>159</c:v>
                </c:pt>
                <c:pt idx="43">
                  <c:v>162</c:v>
                </c:pt>
                <c:pt idx="44">
                  <c:v>162</c:v>
                </c:pt>
                <c:pt idx="45">
                  <c:v>174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182</c:v>
                </c:pt>
                <c:pt idx="50">
                  <c:v>183</c:v>
                </c:pt>
                <c:pt idx="51">
                  <c:v>189</c:v>
                </c:pt>
                <c:pt idx="52">
                  <c:v>193</c:v>
                </c:pt>
                <c:pt idx="53">
                  <c:v>195</c:v>
                </c:pt>
                <c:pt idx="54">
                  <c:v>209</c:v>
                </c:pt>
                <c:pt idx="55">
                  <c:v>237</c:v>
                </c:pt>
                <c:pt idx="56">
                  <c:v>250</c:v>
                </c:pt>
                <c:pt idx="57">
                  <c:v>297</c:v>
                </c:pt>
                <c:pt idx="58">
                  <c:v>297</c:v>
                </c:pt>
                <c:pt idx="59">
                  <c:v>310</c:v>
                </c:pt>
                <c:pt idx="60">
                  <c:v>382</c:v>
                </c:pt>
                <c:pt idx="61">
                  <c:v>443</c:v>
                </c:pt>
                <c:pt idx="62">
                  <c:v>460</c:v>
                </c:pt>
                <c:pt idx="63">
                  <c:v>500</c:v>
                </c:pt>
                <c:pt idx="64">
                  <c:v>500</c:v>
                </c:pt>
                <c:pt idx="65">
                  <c:v>568</c:v>
                </c:pt>
                <c:pt idx="66">
                  <c:v>620</c:v>
                </c:pt>
                <c:pt idx="67">
                  <c:v>730</c:v>
                </c:pt>
                <c:pt idx="68">
                  <c:v>779</c:v>
                </c:pt>
                <c:pt idx="69">
                  <c:v>849</c:v>
                </c:pt>
              </c:numCache>
            </c:numRef>
          </c:xVal>
          <c:yVal>
            <c:numRef>
              <c:f>Java!$G$22:$G$91</c:f>
              <c:numCache>
                <c:formatCode>0</c:formatCode>
                <c:ptCount val="70"/>
                <c:pt idx="0" formatCode="General">
                  <c:v>1009</c:v>
                </c:pt>
                <c:pt idx="1">
                  <c:v>274.09199999999998</c:v>
                </c:pt>
                <c:pt idx="2">
                  <c:v>336.84199999999998</c:v>
                </c:pt>
                <c:pt idx="3">
                  <c:v>512.04</c:v>
                </c:pt>
                <c:pt idx="4" formatCode="General">
                  <c:v>12702</c:v>
                </c:pt>
                <c:pt idx="5">
                  <c:v>379.512</c:v>
                </c:pt>
                <c:pt idx="6">
                  <c:v>397.58399999999995</c:v>
                </c:pt>
                <c:pt idx="7">
                  <c:v>659.62799999999993</c:v>
                </c:pt>
                <c:pt idx="8">
                  <c:v>482.92399999999998</c:v>
                </c:pt>
                <c:pt idx="9" formatCode="General">
                  <c:v>1100</c:v>
                </c:pt>
                <c:pt idx="10">
                  <c:v>475.89599999999996</c:v>
                </c:pt>
                <c:pt idx="11" formatCode="General">
                  <c:v>2879</c:v>
                </c:pt>
                <c:pt idx="12">
                  <c:v>691.25399999999991</c:v>
                </c:pt>
                <c:pt idx="13">
                  <c:v>466.6592</c:v>
                </c:pt>
                <c:pt idx="14" formatCode="General">
                  <c:v>855</c:v>
                </c:pt>
                <c:pt idx="15">
                  <c:v>421.67999999999995</c:v>
                </c:pt>
                <c:pt idx="16">
                  <c:v>725.39</c:v>
                </c:pt>
                <c:pt idx="17">
                  <c:v>406.61999999999995</c:v>
                </c:pt>
                <c:pt idx="18">
                  <c:v>831.31200000000001</c:v>
                </c:pt>
                <c:pt idx="19">
                  <c:v>702.79999999999984</c:v>
                </c:pt>
                <c:pt idx="20">
                  <c:v>921.67199999999991</c:v>
                </c:pt>
                <c:pt idx="21">
                  <c:v>2196.2953367875648</c:v>
                </c:pt>
                <c:pt idx="22">
                  <c:v>650.59199999999998</c:v>
                </c:pt>
                <c:pt idx="23" formatCode="General">
                  <c:v>1276</c:v>
                </c:pt>
                <c:pt idx="24" formatCode="General">
                  <c:v>884</c:v>
                </c:pt>
                <c:pt idx="25">
                  <c:v>502</c:v>
                </c:pt>
                <c:pt idx="26" formatCode="General">
                  <c:v>7290</c:v>
                </c:pt>
                <c:pt idx="27" formatCode="General">
                  <c:v>285</c:v>
                </c:pt>
                <c:pt idx="28">
                  <c:v>692.75999999999988</c:v>
                </c:pt>
                <c:pt idx="29">
                  <c:v>2711.6165803108811</c:v>
                </c:pt>
                <c:pt idx="30">
                  <c:v>728.30159999999989</c:v>
                </c:pt>
                <c:pt idx="31">
                  <c:v>998.47799999999984</c:v>
                </c:pt>
                <c:pt idx="32">
                  <c:v>1795.0673575129535</c:v>
                </c:pt>
                <c:pt idx="33" formatCode="General">
                  <c:v>1045</c:v>
                </c:pt>
                <c:pt idx="34">
                  <c:v>1004</c:v>
                </c:pt>
                <c:pt idx="35">
                  <c:v>1020.064</c:v>
                </c:pt>
                <c:pt idx="36" formatCode="General">
                  <c:v>1053</c:v>
                </c:pt>
                <c:pt idx="37">
                  <c:v>1024.08</c:v>
                </c:pt>
                <c:pt idx="38">
                  <c:v>861.4319999999999</c:v>
                </c:pt>
                <c:pt idx="39" formatCode="General">
                  <c:v>2389</c:v>
                </c:pt>
                <c:pt idx="40">
                  <c:v>1228.896</c:v>
                </c:pt>
                <c:pt idx="41" formatCode="General">
                  <c:v>1025</c:v>
                </c:pt>
                <c:pt idx="42">
                  <c:v>3688.6352331606213</c:v>
                </c:pt>
                <c:pt idx="43">
                  <c:v>1305</c:v>
                </c:pt>
                <c:pt idx="44">
                  <c:v>1903.7602072538862</c:v>
                </c:pt>
                <c:pt idx="45" formatCode="General">
                  <c:v>1876</c:v>
                </c:pt>
                <c:pt idx="46" formatCode="General">
                  <c:v>290</c:v>
                </c:pt>
                <c:pt idx="47" formatCode="General">
                  <c:v>789</c:v>
                </c:pt>
                <c:pt idx="48" formatCode="General">
                  <c:v>3063</c:v>
                </c:pt>
                <c:pt idx="49" formatCode="General">
                  <c:v>2629.2</c:v>
                </c:pt>
                <c:pt idx="50" formatCode="General">
                  <c:v>460</c:v>
                </c:pt>
                <c:pt idx="51" formatCode="General">
                  <c:v>315</c:v>
                </c:pt>
                <c:pt idx="52">
                  <c:v>734</c:v>
                </c:pt>
                <c:pt idx="53" formatCode="General">
                  <c:v>322</c:v>
                </c:pt>
                <c:pt idx="54">
                  <c:v>1993.4419999999996</c:v>
                </c:pt>
                <c:pt idx="55">
                  <c:v>3064.5450777202072</c:v>
                </c:pt>
                <c:pt idx="56" formatCode="General">
                  <c:v>400</c:v>
                </c:pt>
                <c:pt idx="57">
                  <c:v>2683.6919999999996</c:v>
                </c:pt>
                <c:pt idx="58" formatCode="General">
                  <c:v>7449</c:v>
                </c:pt>
                <c:pt idx="59">
                  <c:v>933.7199999999998</c:v>
                </c:pt>
                <c:pt idx="60" formatCode="General">
                  <c:v>22000</c:v>
                </c:pt>
                <c:pt idx="61" formatCode="General">
                  <c:v>796</c:v>
                </c:pt>
                <c:pt idx="62" formatCode="General">
                  <c:v>1667</c:v>
                </c:pt>
                <c:pt idx="63" formatCode="General">
                  <c:v>700</c:v>
                </c:pt>
                <c:pt idx="64">
                  <c:v>2510</c:v>
                </c:pt>
                <c:pt idx="65" formatCode="General">
                  <c:v>5873</c:v>
                </c:pt>
                <c:pt idx="66" formatCode="General">
                  <c:v>18160</c:v>
                </c:pt>
                <c:pt idx="67" formatCode="General">
                  <c:v>20975</c:v>
                </c:pt>
                <c:pt idx="68" formatCode="General">
                  <c:v>25040</c:v>
                </c:pt>
                <c:pt idx="69" formatCode="General">
                  <c:v>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BD-5749-B7BB-356037904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762560"/>
        <c:axId val="163941536"/>
      </c:scatterChart>
      <c:valAx>
        <c:axId val="7217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3941536"/>
        <c:crosses val="autoZero"/>
        <c:crossBetween val="midCat"/>
      </c:valAx>
      <c:valAx>
        <c:axId val="1639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217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Java!$G$683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Java!$F$684:$F$725</c:f>
              <c:numCache>
                <c:formatCode>General</c:formatCode>
                <c:ptCount val="42"/>
                <c:pt idx="0">
                  <c:v>46</c:v>
                </c:pt>
                <c:pt idx="1">
                  <c:v>52</c:v>
                </c:pt>
                <c:pt idx="2">
                  <c:v>61</c:v>
                </c:pt>
                <c:pt idx="3">
                  <c:v>68</c:v>
                </c:pt>
                <c:pt idx="4">
                  <c:v>70</c:v>
                </c:pt>
                <c:pt idx="5">
                  <c:v>72</c:v>
                </c:pt>
                <c:pt idx="6">
                  <c:v>73</c:v>
                </c:pt>
                <c:pt idx="7">
                  <c:v>74</c:v>
                </c:pt>
                <c:pt idx="8">
                  <c:v>76</c:v>
                </c:pt>
                <c:pt idx="9">
                  <c:v>79</c:v>
                </c:pt>
                <c:pt idx="10">
                  <c:v>81</c:v>
                </c:pt>
                <c:pt idx="11">
                  <c:v>83</c:v>
                </c:pt>
                <c:pt idx="12">
                  <c:v>83</c:v>
                </c:pt>
                <c:pt idx="13">
                  <c:v>84</c:v>
                </c:pt>
                <c:pt idx="14">
                  <c:v>85</c:v>
                </c:pt>
                <c:pt idx="15">
                  <c:v>90</c:v>
                </c:pt>
                <c:pt idx="16">
                  <c:v>92</c:v>
                </c:pt>
                <c:pt idx="17">
                  <c:v>100</c:v>
                </c:pt>
                <c:pt idx="18">
                  <c:v>102</c:v>
                </c:pt>
                <c:pt idx="19">
                  <c:v>108</c:v>
                </c:pt>
                <c:pt idx="20">
                  <c:v>108</c:v>
                </c:pt>
                <c:pt idx="21">
                  <c:v>110</c:v>
                </c:pt>
                <c:pt idx="22">
                  <c:v>114</c:v>
                </c:pt>
                <c:pt idx="23">
                  <c:v>115</c:v>
                </c:pt>
                <c:pt idx="24">
                  <c:v>115</c:v>
                </c:pt>
                <c:pt idx="25">
                  <c:v>117</c:v>
                </c:pt>
                <c:pt idx="26">
                  <c:v>117</c:v>
                </c:pt>
                <c:pt idx="27">
                  <c:v>122</c:v>
                </c:pt>
                <c:pt idx="28">
                  <c:v>125</c:v>
                </c:pt>
                <c:pt idx="29">
                  <c:v>127</c:v>
                </c:pt>
                <c:pt idx="30">
                  <c:v>135</c:v>
                </c:pt>
                <c:pt idx="31">
                  <c:v>136</c:v>
                </c:pt>
                <c:pt idx="32">
                  <c:v>143</c:v>
                </c:pt>
                <c:pt idx="33">
                  <c:v>153</c:v>
                </c:pt>
                <c:pt idx="34">
                  <c:v>156</c:v>
                </c:pt>
                <c:pt idx="35">
                  <c:v>162</c:v>
                </c:pt>
                <c:pt idx="36">
                  <c:v>178</c:v>
                </c:pt>
                <c:pt idx="37">
                  <c:v>179</c:v>
                </c:pt>
                <c:pt idx="38">
                  <c:v>183</c:v>
                </c:pt>
                <c:pt idx="39">
                  <c:v>189</c:v>
                </c:pt>
                <c:pt idx="40">
                  <c:v>193</c:v>
                </c:pt>
                <c:pt idx="41">
                  <c:v>195</c:v>
                </c:pt>
              </c:numCache>
            </c:numRef>
          </c:xVal>
          <c:yVal>
            <c:numRef>
              <c:f>Java!$G$684:$G$725</c:f>
              <c:numCache>
                <c:formatCode>0</c:formatCode>
                <c:ptCount val="42"/>
                <c:pt idx="0" formatCode="General">
                  <c:v>1009</c:v>
                </c:pt>
                <c:pt idx="1">
                  <c:v>274.09199999999998</c:v>
                </c:pt>
                <c:pt idx="2">
                  <c:v>336.84199999999998</c:v>
                </c:pt>
                <c:pt idx="3">
                  <c:v>512.04</c:v>
                </c:pt>
                <c:pt idx="4">
                  <c:v>379.512</c:v>
                </c:pt>
                <c:pt idx="5">
                  <c:v>397.58399999999995</c:v>
                </c:pt>
                <c:pt idx="6">
                  <c:v>659.62799999999993</c:v>
                </c:pt>
                <c:pt idx="7">
                  <c:v>482.92399999999998</c:v>
                </c:pt>
                <c:pt idx="8" formatCode="General">
                  <c:v>1100</c:v>
                </c:pt>
                <c:pt idx="9">
                  <c:v>475.89599999999996</c:v>
                </c:pt>
                <c:pt idx="10">
                  <c:v>691.25399999999991</c:v>
                </c:pt>
                <c:pt idx="11">
                  <c:v>466.6592</c:v>
                </c:pt>
                <c:pt idx="12" formatCode="General">
                  <c:v>855</c:v>
                </c:pt>
                <c:pt idx="13">
                  <c:v>421.67999999999995</c:v>
                </c:pt>
                <c:pt idx="14">
                  <c:v>725.39</c:v>
                </c:pt>
                <c:pt idx="15">
                  <c:v>406.61999999999995</c:v>
                </c:pt>
                <c:pt idx="16">
                  <c:v>831.31200000000001</c:v>
                </c:pt>
                <c:pt idx="17">
                  <c:v>702.79999999999984</c:v>
                </c:pt>
                <c:pt idx="18">
                  <c:v>921.67199999999991</c:v>
                </c:pt>
                <c:pt idx="19">
                  <c:v>650.59199999999998</c:v>
                </c:pt>
                <c:pt idx="20" formatCode="General">
                  <c:v>1276</c:v>
                </c:pt>
                <c:pt idx="21" formatCode="General">
                  <c:v>884</c:v>
                </c:pt>
                <c:pt idx="22">
                  <c:v>502</c:v>
                </c:pt>
                <c:pt idx="23" formatCode="General">
                  <c:v>285</c:v>
                </c:pt>
                <c:pt idx="24">
                  <c:v>692.75999999999988</c:v>
                </c:pt>
                <c:pt idx="25">
                  <c:v>728.30159999999989</c:v>
                </c:pt>
                <c:pt idx="26">
                  <c:v>998.47799999999984</c:v>
                </c:pt>
                <c:pt idx="27" formatCode="General">
                  <c:v>1045</c:v>
                </c:pt>
                <c:pt idx="28">
                  <c:v>1004</c:v>
                </c:pt>
                <c:pt idx="29">
                  <c:v>1020.064</c:v>
                </c:pt>
                <c:pt idx="30" formatCode="General">
                  <c:v>1053</c:v>
                </c:pt>
                <c:pt idx="31">
                  <c:v>1024.08</c:v>
                </c:pt>
                <c:pt idx="32">
                  <c:v>861.4319999999999</c:v>
                </c:pt>
                <c:pt idx="33">
                  <c:v>1228.896</c:v>
                </c:pt>
                <c:pt idx="34" formatCode="General">
                  <c:v>1025</c:v>
                </c:pt>
                <c:pt idx="35">
                  <c:v>1305</c:v>
                </c:pt>
                <c:pt idx="36" formatCode="General">
                  <c:v>290</c:v>
                </c:pt>
                <c:pt idx="37" formatCode="General">
                  <c:v>789</c:v>
                </c:pt>
                <c:pt idx="38" formatCode="General">
                  <c:v>460</c:v>
                </c:pt>
                <c:pt idx="39" formatCode="General">
                  <c:v>315</c:v>
                </c:pt>
                <c:pt idx="40">
                  <c:v>734</c:v>
                </c:pt>
                <c:pt idx="41" formatCode="General">
                  <c:v>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26-C74A-8245-8C619D15E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611568"/>
        <c:axId val="373165312"/>
      </c:scatterChart>
      <c:valAx>
        <c:axId val="37261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3165312"/>
        <c:crosses val="autoZero"/>
        <c:crossBetween val="midCat"/>
      </c:valAx>
      <c:valAx>
        <c:axId val="37316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261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Java!$G$683</c:f>
              <c:strCache>
                <c:ptCount val="1"/>
                <c:pt idx="0">
                  <c:v>Effort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Java!$F$684:$F$725</c:f>
              <c:numCache>
                <c:formatCode>General</c:formatCode>
                <c:ptCount val="42"/>
                <c:pt idx="0">
                  <c:v>46</c:v>
                </c:pt>
                <c:pt idx="1">
                  <c:v>52</c:v>
                </c:pt>
                <c:pt idx="2">
                  <c:v>61</c:v>
                </c:pt>
                <c:pt idx="3">
                  <c:v>68</c:v>
                </c:pt>
                <c:pt idx="4">
                  <c:v>70</c:v>
                </c:pt>
                <c:pt idx="5">
                  <c:v>72</c:v>
                </c:pt>
                <c:pt idx="6">
                  <c:v>73</c:v>
                </c:pt>
                <c:pt idx="7">
                  <c:v>74</c:v>
                </c:pt>
                <c:pt idx="8">
                  <c:v>76</c:v>
                </c:pt>
                <c:pt idx="9">
                  <c:v>79</c:v>
                </c:pt>
                <c:pt idx="10">
                  <c:v>81</c:v>
                </c:pt>
                <c:pt idx="11">
                  <c:v>83</c:v>
                </c:pt>
                <c:pt idx="12">
                  <c:v>83</c:v>
                </c:pt>
                <c:pt idx="13">
                  <c:v>84</c:v>
                </c:pt>
                <c:pt idx="14">
                  <c:v>85</c:v>
                </c:pt>
                <c:pt idx="15">
                  <c:v>90</c:v>
                </c:pt>
                <c:pt idx="16">
                  <c:v>92</c:v>
                </c:pt>
                <c:pt idx="17">
                  <c:v>100</c:v>
                </c:pt>
                <c:pt idx="18">
                  <c:v>102</c:v>
                </c:pt>
                <c:pt idx="19">
                  <c:v>108</c:v>
                </c:pt>
                <c:pt idx="20">
                  <c:v>108</c:v>
                </c:pt>
                <c:pt idx="21">
                  <c:v>110</c:v>
                </c:pt>
                <c:pt idx="22">
                  <c:v>114</c:v>
                </c:pt>
                <c:pt idx="23">
                  <c:v>115</c:v>
                </c:pt>
                <c:pt idx="24">
                  <c:v>115</c:v>
                </c:pt>
                <c:pt idx="25">
                  <c:v>117</c:v>
                </c:pt>
                <c:pt idx="26">
                  <c:v>117</c:v>
                </c:pt>
                <c:pt idx="27">
                  <c:v>122</c:v>
                </c:pt>
                <c:pt idx="28">
                  <c:v>125</c:v>
                </c:pt>
                <c:pt idx="29">
                  <c:v>127</c:v>
                </c:pt>
                <c:pt idx="30">
                  <c:v>135</c:v>
                </c:pt>
                <c:pt idx="31">
                  <c:v>136</c:v>
                </c:pt>
                <c:pt idx="32">
                  <c:v>143</c:v>
                </c:pt>
                <c:pt idx="33">
                  <c:v>153</c:v>
                </c:pt>
                <c:pt idx="34">
                  <c:v>156</c:v>
                </c:pt>
                <c:pt idx="35">
                  <c:v>162</c:v>
                </c:pt>
                <c:pt idx="36">
                  <c:v>178</c:v>
                </c:pt>
                <c:pt idx="37">
                  <c:v>179</c:v>
                </c:pt>
                <c:pt idx="38">
                  <c:v>183</c:v>
                </c:pt>
                <c:pt idx="39">
                  <c:v>189</c:v>
                </c:pt>
                <c:pt idx="40">
                  <c:v>193</c:v>
                </c:pt>
                <c:pt idx="41">
                  <c:v>195</c:v>
                </c:pt>
              </c:numCache>
            </c:numRef>
          </c:xVal>
          <c:yVal>
            <c:numRef>
              <c:f>Java!$G$684:$G$725</c:f>
              <c:numCache>
                <c:formatCode>0</c:formatCode>
                <c:ptCount val="42"/>
                <c:pt idx="0" formatCode="General">
                  <c:v>1009</c:v>
                </c:pt>
                <c:pt idx="1">
                  <c:v>274.09199999999998</c:v>
                </c:pt>
                <c:pt idx="2">
                  <c:v>336.84199999999998</c:v>
                </c:pt>
                <c:pt idx="3">
                  <c:v>512.04</c:v>
                </c:pt>
                <c:pt idx="4">
                  <c:v>379.512</c:v>
                </c:pt>
                <c:pt idx="5">
                  <c:v>397.58399999999995</c:v>
                </c:pt>
                <c:pt idx="6">
                  <c:v>659.62799999999993</c:v>
                </c:pt>
                <c:pt idx="7">
                  <c:v>482.92399999999998</c:v>
                </c:pt>
                <c:pt idx="8" formatCode="General">
                  <c:v>1100</c:v>
                </c:pt>
                <c:pt idx="9">
                  <c:v>475.89599999999996</c:v>
                </c:pt>
                <c:pt idx="10">
                  <c:v>691.25399999999991</c:v>
                </c:pt>
                <c:pt idx="11">
                  <c:v>466.6592</c:v>
                </c:pt>
                <c:pt idx="12" formatCode="General">
                  <c:v>855</c:v>
                </c:pt>
                <c:pt idx="13">
                  <c:v>421.67999999999995</c:v>
                </c:pt>
                <c:pt idx="14">
                  <c:v>725.39</c:v>
                </c:pt>
                <c:pt idx="15">
                  <c:v>406.61999999999995</c:v>
                </c:pt>
                <c:pt idx="16">
                  <c:v>831.31200000000001</c:v>
                </c:pt>
                <c:pt idx="17">
                  <c:v>702.79999999999984</c:v>
                </c:pt>
                <c:pt idx="18">
                  <c:v>921.67199999999991</c:v>
                </c:pt>
                <c:pt idx="19">
                  <c:v>650.59199999999998</c:v>
                </c:pt>
                <c:pt idx="20" formatCode="General">
                  <c:v>1276</c:v>
                </c:pt>
                <c:pt idx="21" formatCode="General">
                  <c:v>884</c:v>
                </c:pt>
                <c:pt idx="22">
                  <c:v>502</c:v>
                </c:pt>
                <c:pt idx="23" formatCode="General">
                  <c:v>285</c:v>
                </c:pt>
                <c:pt idx="24">
                  <c:v>692.75999999999988</c:v>
                </c:pt>
                <c:pt idx="25">
                  <c:v>728.30159999999989</c:v>
                </c:pt>
                <c:pt idx="26">
                  <c:v>998.47799999999984</c:v>
                </c:pt>
                <c:pt idx="27" formatCode="General">
                  <c:v>1045</c:v>
                </c:pt>
                <c:pt idx="28">
                  <c:v>1004</c:v>
                </c:pt>
                <c:pt idx="29">
                  <c:v>1020.064</c:v>
                </c:pt>
                <c:pt idx="30" formatCode="General">
                  <c:v>1053</c:v>
                </c:pt>
                <c:pt idx="31">
                  <c:v>1024.08</c:v>
                </c:pt>
                <c:pt idx="32">
                  <c:v>861.4319999999999</c:v>
                </c:pt>
                <c:pt idx="33">
                  <c:v>1228.896</c:v>
                </c:pt>
                <c:pt idx="34" formatCode="General">
                  <c:v>1025</c:v>
                </c:pt>
                <c:pt idx="35">
                  <c:v>1305</c:v>
                </c:pt>
                <c:pt idx="36" formatCode="General">
                  <c:v>290</c:v>
                </c:pt>
                <c:pt idx="37" formatCode="General">
                  <c:v>789</c:v>
                </c:pt>
                <c:pt idx="38" formatCode="General">
                  <c:v>460</c:v>
                </c:pt>
                <c:pt idx="39" formatCode="General">
                  <c:v>315</c:v>
                </c:pt>
                <c:pt idx="40">
                  <c:v>734</c:v>
                </c:pt>
                <c:pt idx="41" formatCode="General">
                  <c:v>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40-DB49-A791-FEA26028D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611568"/>
        <c:axId val="373165312"/>
      </c:scatterChart>
      <c:valAx>
        <c:axId val="37261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3165312"/>
        <c:crosses val="autoZero"/>
        <c:crossBetween val="midCat"/>
      </c:valAx>
      <c:valAx>
        <c:axId val="37316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7261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152871</xdr:colOff>
      <xdr:row>2</xdr:row>
      <xdr:rowOff>47037</xdr:rowOff>
    </xdr:from>
    <xdr:to>
      <xdr:col>5</xdr:col>
      <xdr:colOff>1070092</xdr:colOff>
      <xdr:row>18</xdr:row>
      <xdr:rowOff>83960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7FDDB9-F532-AA96-371E-31A2D68EE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811390</xdr:colOff>
      <xdr:row>2</xdr:row>
      <xdr:rowOff>105833</xdr:rowOff>
    </xdr:from>
    <xdr:to>
      <xdr:col>11</xdr:col>
      <xdr:colOff>470370</xdr:colOff>
      <xdr:row>18</xdr:row>
      <xdr:rowOff>152871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7396E9-7BFD-494A-A074-2458B1260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223426</xdr:colOff>
      <xdr:row>401</xdr:row>
      <xdr:rowOff>47037</xdr:rowOff>
    </xdr:from>
    <xdr:to>
      <xdr:col>3</xdr:col>
      <xdr:colOff>1375832</xdr:colOff>
      <xdr:row>413</xdr:row>
      <xdr:rowOff>164630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23FE47-E243-0D43-ADE5-E6098EF55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147320</xdr:colOff>
      <xdr:row>3</xdr:row>
      <xdr:rowOff>116840</xdr:rowOff>
    </xdr:from>
    <xdr:to>
      <xdr:col>5</xdr:col>
      <xdr:colOff>655320</xdr:colOff>
      <xdr:row>17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0F6CDA-E7EC-D9A5-4B3B-1CDFECF5B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55880</xdr:colOff>
      <xdr:row>91</xdr:row>
      <xdr:rowOff>177800</xdr:rowOff>
    </xdr:from>
    <xdr:to>
      <xdr:col>5</xdr:col>
      <xdr:colOff>563880</xdr:colOff>
      <xdr:row>105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68D69F-92E0-9C98-C2DB-9F506E40C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</xdr:row>
      <xdr:rowOff>71120</xdr:rowOff>
    </xdr:from>
    <xdr:to>
      <xdr:col>12</xdr:col>
      <xdr:colOff>508000</xdr:colOff>
      <xdr:row>16</xdr:row>
      <xdr:rowOff>172720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C7DA0F-B57B-2645-89CD-FC6C027E4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173910</xdr:colOff>
      <xdr:row>3</xdr:row>
      <xdr:rowOff>98626</xdr:rowOff>
    </xdr:from>
    <xdr:to>
      <xdr:col>5</xdr:col>
      <xdr:colOff>684198</xdr:colOff>
      <xdr:row>16</xdr:row>
      <xdr:rowOff>164529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9FF45-4B58-BF4F-58C5-B24C2977B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160180</xdr:colOff>
      <xdr:row>96</xdr:row>
      <xdr:rowOff>57207</xdr:rowOff>
    </xdr:from>
    <xdr:to>
      <xdr:col>5</xdr:col>
      <xdr:colOff>670468</xdr:colOff>
      <xdr:row>109</xdr:row>
      <xdr:rowOff>100227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98A3A-9D4E-F34E-8AB5-2687F3952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91532</xdr:colOff>
      <xdr:row>3</xdr:row>
      <xdr:rowOff>114414</xdr:rowOff>
    </xdr:from>
    <xdr:to>
      <xdr:col>12</xdr:col>
      <xdr:colOff>601820</xdr:colOff>
      <xdr:row>16</xdr:row>
      <xdr:rowOff>180317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964DAE-6439-8E4F-AA79-E9FC54718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184150</xdr:rowOff>
    </xdr:from>
    <xdr:to>
      <xdr:col>5</xdr:col>
      <xdr:colOff>584200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42BEBE-D563-5509-DF77-ED9861BA8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241300</xdr:colOff>
      <xdr:row>104</xdr:row>
      <xdr:rowOff>133350</xdr:rowOff>
    </xdr:from>
    <xdr:to>
      <xdr:col>5</xdr:col>
      <xdr:colOff>749300</xdr:colOff>
      <xdr:row>118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94271B-3E2E-DCD1-FEEF-7E467686A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12</xdr:col>
      <xdr:colOff>508000</xdr:colOff>
      <xdr:row>16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28C52A-52C1-584B-A4FD-BA8AE63DA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3</xdr:row>
      <xdr:rowOff>82550</xdr:rowOff>
    </xdr:from>
    <xdr:to>
      <xdr:col>9</xdr:col>
      <xdr:colOff>241300</xdr:colOff>
      <xdr:row>16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F65E2-49B2-0383-BE3F-80C9561AE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930</xdr:row>
      <xdr:rowOff>44450</xdr:rowOff>
    </xdr:from>
    <xdr:to>
      <xdr:col>5</xdr:col>
      <xdr:colOff>736600</xdr:colOff>
      <xdr:row>943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57BA09-F203-01C8-0AA1-3817969B6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</xdr:colOff>
      <xdr:row>3</xdr:row>
      <xdr:rowOff>76200</xdr:rowOff>
    </xdr:from>
    <xdr:to>
      <xdr:col>16</xdr:col>
      <xdr:colOff>431800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DF76C6-CC7A-8849-8DDA-CB3F0CA3E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260350</xdr:colOff>
      <xdr:row>3</xdr:row>
      <xdr:rowOff>69850</xdr:rowOff>
    </xdr:from>
    <xdr:to>
      <xdr:col>9</xdr:col>
      <xdr:colOff>444500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7EFA2-F4C0-1755-6469-A6DDBA07B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165100</xdr:colOff>
      <xdr:row>511</xdr:row>
      <xdr:rowOff>107950</xdr:rowOff>
    </xdr:from>
    <xdr:to>
      <xdr:col>5</xdr:col>
      <xdr:colOff>673100</xdr:colOff>
      <xdr:row>524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A8937E-297A-17FF-50BC-1EDB0B3DA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304800</xdr:colOff>
      <xdr:row>2</xdr:row>
      <xdr:rowOff>190500</xdr:rowOff>
    </xdr:from>
    <xdr:to>
      <xdr:col>16</xdr:col>
      <xdr:colOff>0</xdr:colOff>
      <xdr:row>16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67474D-BB5F-7C46-BC78-0C0B56F29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3</xdr:row>
      <xdr:rowOff>57150</xdr:rowOff>
    </xdr:from>
    <xdr:to>
      <xdr:col>6</xdr:col>
      <xdr:colOff>95250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E4270-A1F4-98FB-C5B5-43FC2D836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157</xdr:row>
      <xdr:rowOff>133350</xdr:rowOff>
    </xdr:from>
    <xdr:to>
      <xdr:col>5</xdr:col>
      <xdr:colOff>609600</xdr:colOff>
      <xdr:row>171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C41E9F-3EC4-8312-EBF7-CC150486C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266700</xdr:colOff>
      <xdr:row>3</xdr:row>
      <xdr:rowOff>88900</xdr:rowOff>
    </xdr:from>
    <xdr:to>
      <xdr:col>12</xdr:col>
      <xdr:colOff>774700</xdr:colOff>
      <xdr:row>16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3017F4-A87A-AA4D-8CFE-247CF0164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135611</xdr:colOff>
      <xdr:row>3</xdr:row>
      <xdr:rowOff>108273</xdr:rowOff>
    </xdr:from>
    <xdr:to>
      <xdr:col>8</xdr:col>
      <xdr:colOff>365932</xdr:colOff>
      <xdr:row>16</xdr:row>
      <xdr:rowOff>193084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66B56-4059-86CA-A553-2C39CC057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108702</xdr:colOff>
      <xdr:row>654</xdr:row>
      <xdr:rowOff>43696</xdr:rowOff>
    </xdr:from>
    <xdr:to>
      <xdr:col>5</xdr:col>
      <xdr:colOff>590871</xdr:colOff>
      <xdr:row>667</xdr:row>
      <xdr:rowOff>128506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9EB4AB-96FD-875D-88BF-248D2E956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269067</xdr:colOff>
      <xdr:row>3</xdr:row>
      <xdr:rowOff>107627</xdr:rowOff>
    </xdr:from>
    <xdr:to>
      <xdr:col>14</xdr:col>
      <xdr:colOff>751237</xdr:colOff>
      <xdr:row>16</xdr:row>
      <xdr:rowOff>192438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452CE5-353D-AE43-AB69-A712A899F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</xdr:row>
      <xdr:rowOff>152400</xdr:rowOff>
    </xdr:from>
    <xdr:to>
      <xdr:col>5</xdr:col>
      <xdr:colOff>755650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8B758-F321-1600-B1F7-957340381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115</xdr:row>
      <xdr:rowOff>31750</xdr:rowOff>
    </xdr:from>
    <xdr:to>
      <xdr:col>5</xdr:col>
      <xdr:colOff>685800</xdr:colOff>
      <xdr:row>128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9FD3E-9A2D-5F5D-CB32-D7ED4511D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101600</xdr:colOff>
      <xdr:row>2</xdr:row>
      <xdr:rowOff>152400</xdr:rowOff>
    </xdr:from>
    <xdr:to>
      <xdr:col>13</xdr:col>
      <xdr:colOff>609600</xdr:colOff>
      <xdr:row>16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6D70FD-1969-B242-828F-05AE7349F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69850</xdr:rowOff>
    </xdr:from>
    <xdr:to>
      <xdr:col>5</xdr:col>
      <xdr:colOff>679450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2E11C-80B1-F3AB-6B7D-C4995342B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63500</xdr:colOff>
      <xdr:row>737</xdr:row>
      <xdr:rowOff>50800</xdr:rowOff>
    </xdr:from>
    <xdr:to>
      <xdr:col>5</xdr:col>
      <xdr:colOff>571500</xdr:colOff>
      <xdr:row>750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0171C7-75DE-984F-BE4A-F324A6882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12</xdr:col>
      <xdr:colOff>508000</xdr:colOff>
      <xdr:row>16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3ABCDA-4517-5E41-BF2A-ADCD8F45A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ADD4-30F6-F545-BD96-AFAF9C533433}">
  <dimension ref="A1:M128"/>
  <sheetViews>
    <sheetView zoomScale="94" zoomScaleNormal="55" workbookViewId="0">
      <selection activeCell="H16" sqref="H16"/>
    </sheetView>
  </sheetViews>
  <sheetFormatPr baseColWidth="10" defaultColWidth="21.6640625" defaultRowHeight="16"/>
  <cols>
    <col min="1" max="1" width="7" style="3" customWidth="1"/>
    <col min="2" max="5" width="21.6640625" style="3"/>
    <col min="6" max="7" width="12.83203125" style="3" customWidth="1"/>
    <col min="8" max="12" width="25" style="3" customWidth="1"/>
    <col min="13" max="16384" width="21.6640625" style="3"/>
  </cols>
  <sheetData>
    <row r="1" spans="1:13">
      <c r="A1" s="1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2" t="s">
        <v>5</v>
      </c>
      <c r="G1" s="2" t="s">
        <v>6</v>
      </c>
    </row>
    <row r="2" spans="1:13">
      <c r="A2" s="4">
        <v>1</v>
      </c>
      <c r="B2" s="4" t="s">
        <v>7</v>
      </c>
      <c r="C2" s="6" t="s">
        <v>8</v>
      </c>
      <c r="D2" s="6" t="s">
        <v>9</v>
      </c>
      <c r="E2" s="4" t="s">
        <v>10</v>
      </c>
      <c r="F2" s="6">
        <v>25</v>
      </c>
      <c r="G2" s="6">
        <v>118</v>
      </c>
      <c r="H2" s="34"/>
      <c r="I2" s="34"/>
      <c r="J2" s="34"/>
      <c r="K2" s="34"/>
      <c r="L2" s="34"/>
      <c r="M2" s="35"/>
    </row>
    <row r="3" spans="1:13">
      <c r="A3" s="4">
        <v>2</v>
      </c>
      <c r="B3" s="4" t="s">
        <v>11</v>
      </c>
      <c r="C3" s="6" t="s">
        <v>8</v>
      </c>
      <c r="D3" s="4" t="s">
        <v>12</v>
      </c>
      <c r="E3" s="4" t="s">
        <v>10</v>
      </c>
      <c r="F3" s="6">
        <v>28</v>
      </c>
      <c r="G3" s="6">
        <v>42</v>
      </c>
      <c r="H3" s="34"/>
      <c r="I3" s="34"/>
      <c r="J3" s="34"/>
      <c r="K3" s="34"/>
      <c r="L3" s="34"/>
      <c r="M3" s="35"/>
    </row>
    <row r="4" spans="1:13">
      <c r="A4" s="4">
        <v>3</v>
      </c>
      <c r="B4" s="4" t="s">
        <v>13</v>
      </c>
      <c r="C4" s="6" t="s">
        <v>8</v>
      </c>
      <c r="D4" s="6" t="s">
        <v>14</v>
      </c>
      <c r="E4" s="4" t="s">
        <v>10</v>
      </c>
      <c r="F4" s="6">
        <v>43</v>
      </c>
      <c r="G4" s="6">
        <v>150</v>
      </c>
      <c r="H4" s="34"/>
      <c r="I4" s="34"/>
      <c r="J4" s="34"/>
      <c r="K4" s="34"/>
      <c r="L4" s="34"/>
      <c r="M4" s="35"/>
    </row>
    <row r="5" spans="1:13">
      <c r="A5" s="4">
        <v>4</v>
      </c>
      <c r="B5" s="4" t="s">
        <v>11</v>
      </c>
      <c r="C5" s="6" t="s">
        <v>8</v>
      </c>
      <c r="D5" s="4" t="s">
        <v>12</v>
      </c>
      <c r="E5" s="4" t="s">
        <v>10</v>
      </c>
      <c r="F5" s="6">
        <v>45</v>
      </c>
      <c r="G5" s="6">
        <v>68</v>
      </c>
      <c r="H5" s="34"/>
      <c r="I5" s="34"/>
      <c r="J5" s="34"/>
      <c r="K5" s="34"/>
      <c r="L5" s="34"/>
      <c r="M5" s="35"/>
    </row>
    <row r="6" spans="1:13">
      <c r="A6" s="4">
        <v>5</v>
      </c>
      <c r="B6" s="4" t="s">
        <v>7</v>
      </c>
      <c r="C6" s="4" t="s">
        <v>15</v>
      </c>
      <c r="D6" s="6" t="s">
        <v>9</v>
      </c>
      <c r="E6" s="4" t="s">
        <v>16</v>
      </c>
      <c r="F6" s="6">
        <v>46</v>
      </c>
      <c r="G6" s="6">
        <v>1009</v>
      </c>
      <c r="H6" s="34"/>
      <c r="I6" s="34"/>
      <c r="J6" s="34"/>
      <c r="K6" s="34"/>
      <c r="L6" s="34"/>
      <c r="M6" s="35"/>
    </row>
    <row r="7" spans="1:13">
      <c r="A7" s="4">
        <v>6</v>
      </c>
      <c r="B7" s="4" t="s">
        <v>11</v>
      </c>
      <c r="C7" s="6" t="s">
        <v>8</v>
      </c>
      <c r="D7" s="6" t="s">
        <v>9</v>
      </c>
      <c r="E7" s="4" t="s">
        <v>10</v>
      </c>
      <c r="F7" s="6">
        <v>51</v>
      </c>
      <c r="G7" s="6">
        <v>52</v>
      </c>
      <c r="H7" s="34"/>
      <c r="I7" s="34"/>
      <c r="J7" s="34"/>
      <c r="K7" s="34"/>
      <c r="L7" s="34"/>
      <c r="M7" s="35"/>
    </row>
    <row r="8" spans="1:13">
      <c r="A8" s="4">
        <v>7</v>
      </c>
      <c r="B8" s="4" t="s">
        <v>7</v>
      </c>
      <c r="C8" s="4" t="s">
        <v>15</v>
      </c>
      <c r="D8" s="4" t="s">
        <v>12</v>
      </c>
      <c r="E8" s="4" t="s">
        <v>16</v>
      </c>
      <c r="F8" s="4">
        <v>52</v>
      </c>
      <c r="G8" s="5">
        <v>274.09199999999998</v>
      </c>
      <c r="H8" s="34"/>
      <c r="I8" s="34"/>
      <c r="J8" s="34"/>
      <c r="K8" s="34"/>
      <c r="L8" s="34"/>
      <c r="M8" s="35"/>
    </row>
    <row r="9" spans="1:13">
      <c r="A9" s="4">
        <v>8</v>
      </c>
      <c r="B9" s="4" t="s">
        <v>7</v>
      </c>
      <c r="C9" s="4" t="s">
        <v>15</v>
      </c>
      <c r="D9" s="4" t="s">
        <v>12</v>
      </c>
      <c r="E9" s="4" t="s">
        <v>16</v>
      </c>
      <c r="F9" s="4">
        <v>61</v>
      </c>
      <c r="G9" s="5">
        <v>336.84199999999998</v>
      </c>
      <c r="H9" s="34"/>
      <c r="I9" s="34"/>
      <c r="J9" s="34"/>
      <c r="K9" s="34"/>
      <c r="L9" s="34"/>
      <c r="M9" s="35"/>
    </row>
    <row r="10" spans="1:13">
      <c r="A10" s="4">
        <v>9</v>
      </c>
      <c r="B10" s="4" t="s">
        <v>11</v>
      </c>
      <c r="C10" s="6" t="s">
        <v>8</v>
      </c>
      <c r="D10" s="4" t="s">
        <v>12</v>
      </c>
      <c r="E10" s="4" t="s">
        <v>10</v>
      </c>
      <c r="F10" s="6">
        <v>65</v>
      </c>
      <c r="G10" s="6">
        <v>139</v>
      </c>
      <c r="H10" s="34"/>
      <c r="I10" s="34"/>
      <c r="J10" s="34"/>
      <c r="K10" s="34"/>
      <c r="L10" s="34"/>
      <c r="M10" s="35"/>
    </row>
    <row r="11" spans="1:13">
      <c r="A11" s="4">
        <v>10</v>
      </c>
      <c r="B11" s="4" t="s">
        <v>7</v>
      </c>
      <c r="C11" s="4" t="s">
        <v>15</v>
      </c>
      <c r="D11" s="4" t="s">
        <v>12</v>
      </c>
      <c r="E11" s="4" t="s">
        <v>16</v>
      </c>
      <c r="F11" s="4">
        <v>68</v>
      </c>
      <c r="G11" s="5">
        <v>512.04</v>
      </c>
      <c r="H11" s="34"/>
      <c r="I11" s="34"/>
      <c r="J11" s="34"/>
      <c r="K11" s="34"/>
      <c r="L11" s="34"/>
      <c r="M11" s="35"/>
    </row>
    <row r="12" spans="1:13">
      <c r="A12" s="4">
        <v>11</v>
      </c>
      <c r="B12" s="4" t="s">
        <v>7</v>
      </c>
      <c r="C12" s="4" t="s">
        <v>15</v>
      </c>
      <c r="D12" s="6" t="s">
        <v>9</v>
      </c>
      <c r="E12" s="4" t="s">
        <v>16</v>
      </c>
      <c r="F12" s="6">
        <v>68</v>
      </c>
      <c r="G12" s="6">
        <v>12702</v>
      </c>
      <c r="H12" s="34"/>
      <c r="I12" s="34"/>
      <c r="J12" s="34"/>
      <c r="K12" s="34"/>
      <c r="L12" s="34"/>
      <c r="M12" s="35"/>
    </row>
    <row r="13" spans="1:13">
      <c r="A13" s="4">
        <v>12</v>
      </c>
      <c r="B13" s="4" t="s">
        <v>7</v>
      </c>
      <c r="C13" s="4" t="s">
        <v>15</v>
      </c>
      <c r="D13" s="4" t="s">
        <v>12</v>
      </c>
      <c r="E13" s="4" t="s">
        <v>16</v>
      </c>
      <c r="F13" s="4">
        <v>70</v>
      </c>
      <c r="G13" s="5">
        <v>379.512</v>
      </c>
      <c r="H13" s="34"/>
      <c r="I13" s="34"/>
      <c r="J13" s="34"/>
      <c r="K13" s="34"/>
      <c r="L13" s="34"/>
      <c r="M13" s="35"/>
    </row>
    <row r="14" spans="1:13">
      <c r="A14" s="4">
        <v>13</v>
      </c>
      <c r="B14" s="4" t="s">
        <v>7</v>
      </c>
      <c r="C14" s="4" t="s">
        <v>15</v>
      </c>
      <c r="D14" s="4" t="s">
        <v>12</v>
      </c>
      <c r="E14" s="4" t="s">
        <v>16</v>
      </c>
      <c r="F14" s="4">
        <v>72</v>
      </c>
      <c r="G14" s="5">
        <v>397.58399999999995</v>
      </c>
      <c r="H14" s="34"/>
      <c r="I14" s="34"/>
      <c r="J14" s="34"/>
      <c r="K14" s="34"/>
      <c r="L14" s="34"/>
      <c r="M14" s="35"/>
    </row>
    <row r="15" spans="1:13">
      <c r="A15" s="4">
        <v>14</v>
      </c>
      <c r="B15" s="4" t="s">
        <v>7</v>
      </c>
      <c r="C15" s="4" t="s">
        <v>15</v>
      </c>
      <c r="D15" s="4" t="s">
        <v>12</v>
      </c>
      <c r="E15" s="4" t="s">
        <v>16</v>
      </c>
      <c r="F15" s="4">
        <v>73</v>
      </c>
      <c r="G15" s="5">
        <v>659.62799999999993</v>
      </c>
      <c r="H15" s="34"/>
      <c r="I15" s="34"/>
      <c r="J15" s="34"/>
      <c r="K15" s="34"/>
      <c r="L15" s="34"/>
      <c r="M15" s="35"/>
    </row>
    <row r="16" spans="1:13">
      <c r="A16" s="4">
        <v>15</v>
      </c>
      <c r="B16" s="4" t="s">
        <v>7</v>
      </c>
      <c r="C16" s="4" t="s">
        <v>15</v>
      </c>
      <c r="D16" s="4" t="s">
        <v>12</v>
      </c>
      <c r="E16" s="4" t="s">
        <v>16</v>
      </c>
      <c r="F16" s="4">
        <v>74</v>
      </c>
      <c r="G16" s="5">
        <v>482.92399999999998</v>
      </c>
      <c r="H16" s="34"/>
      <c r="I16" s="34"/>
      <c r="J16" s="34"/>
      <c r="K16" s="34"/>
      <c r="L16" s="34"/>
      <c r="M16" s="35"/>
    </row>
    <row r="17" spans="1:13">
      <c r="A17" s="4">
        <v>16</v>
      </c>
      <c r="B17" s="4" t="s">
        <v>11</v>
      </c>
      <c r="C17" s="6" t="s">
        <v>8</v>
      </c>
      <c r="D17" s="4" t="s">
        <v>12</v>
      </c>
      <c r="E17" s="4" t="s">
        <v>10</v>
      </c>
      <c r="F17" s="6">
        <v>75</v>
      </c>
      <c r="G17" s="6">
        <v>110</v>
      </c>
      <c r="H17" s="34"/>
      <c r="I17" s="34"/>
      <c r="J17" s="34"/>
      <c r="K17" s="34"/>
      <c r="L17" s="34"/>
      <c r="M17" s="35"/>
    </row>
    <row r="18" spans="1:13">
      <c r="A18" s="4">
        <v>17</v>
      </c>
      <c r="B18" s="4" t="s">
        <v>7</v>
      </c>
      <c r="C18" s="4" t="s">
        <v>17</v>
      </c>
      <c r="D18" s="6" t="s">
        <v>14</v>
      </c>
      <c r="E18" s="4" t="s">
        <v>16</v>
      </c>
      <c r="F18" s="6">
        <v>76</v>
      </c>
      <c r="G18" s="6">
        <v>1100</v>
      </c>
      <c r="H18" s="34"/>
      <c r="I18" s="34"/>
      <c r="J18" s="34"/>
      <c r="K18" s="34"/>
      <c r="L18" s="34"/>
      <c r="M18" s="35"/>
    </row>
    <row r="19" spans="1:13">
      <c r="A19" s="4">
        <v>18</v>
      </c>
      <c r="B19" s="4" t="s">
        <v>11</v>
      </c>
      <c r="C19" s="6" t="s">
        <v>8</v>
      </c>
      <c r="D19" s="6" t="s">
        <v>9</v>
      </c>
      <c r="E19" s="4" t="s">
        <v>10</v>
      </c>
      <c r="F19" s="6">
        <v>79</v>
      </c>
      <c r="G19" s="6">
        <v>142</v>
      </c>
      <c r="H19" s="34"/>
      <c r="I19" s="34"/>
      <c r="J19" s="34"/>
      <c r="K19" s="34"/>
      <c r="L19" s="34"/>
      <c r="M19" s="35"/>
    </row>
    <row r="20" spans="1:13">
      <c r="A20" s="4">
        <v>19</v>
      </c>
      <c r="B20" s="4" t="s">
        <v>7</v>
      </c>
      <c r="C20" s="4" t="s">
        <v>15</v>
      </c>
      <c r="D20" s="4" t="s">
        <v>12</v>
      </c>
      <c r="E20" s="4" t="s">
        <v>16</v>
      </c>
      <c r="F20" s="4">
        <v>79</v>
      </c>
      <c r="G20" s="5">
        <v>475.89599999999996</v>
      </c>
      <c r="H20" s="34"/>
      <c r="I20" s="34"/>
      <c r="J20" s="34"/>
      <c r="K20" s="34"/>
      <c r="L20" s="34"/>
      <c r="M20" s="35"/>
    </row>
    <row r="21" spans="1:13">
      <c r="A21" s="4">
        <v>20</v>
      </c>
      <c r="B21" s="4" t="s">
        <v>11</v>
      </c>
      <c r="C21" s="4" t="s">
        <v>15</v>
      </c>
      <c r="D21" s="6" t="s">
        <v>9</v>
      </c>
      <c r="E21" s="4" t="s">
        <v>10</v>
      </c>
      <c r="F21" s="4">
        <v>80</v>
      </c>
      <c r="G21" s="4">
        <v>260</v>
      </c>
      <c r="H21" s="34"/>
      <c r="I21" s="34"/>
      <c r="J21" s="34"/>
      <c r="K21" s="34"/>
      <c r="L21" s="34"/>
      <c r="M21" s="35"/>
    </row>
    <row r="22" spans="1:13">
      <c r="A22" s="4">
        <v>21</v>
      </c>
      <c r="B22" s="4" t="s">
        <v>7</v>
      </c>
      <c r="C22" s="4" t="s">
        <v>15</v>
      </c>
      <c r="D22" s="6" t="s">
        <v>9</v>
      </c>
      <c r="E22" s="4" t="s">
        <v>16</v>
      </c>
      <c r="F22" s="6">
        <v>80</v>
      </c>
      <c r="G22" s="6">
        <v>2879</v>
      </c>
      <c r="H22" s="34"/>
      <c r="I22" s="34"/>
      <c r="J22" s="34"/>
      <c r="K22" s="34"/>
      <c r="L22" s="34"/>
      <c r="M22" s="35"/>
    </row>
    <row r="23" spans="1:13">
      <c r="A23" s="4">
        <v>22</v>
      </c>
      <c r="B23" s="4" t="s">
        <v>11</v>
      </c>
      <c r="C23" s="6" t="s">
        <v>8</v>
      </c>
      <c r="D23" s="6" t="s">
        <v>9</v>
      </c>
      <c r="E23" s="4" t="s">
        <v>10</v>
      </c>
      <c r="F23" s="6">
        <v>81</v>
      </c>
      <c r="G23" s="6">
        <v>190</v>
      </c>
      <c r="H23" s="34"/>
      <c r="I23" s="34"/>
      <c r="J23" s="34"/>
      <c r="K23" s="34"/>
      <c r="L23" s="34"/>
      <c r="M23" s="35"/>
    </row>
    <row r="24" spans="1:13">
      <c r="A24" s="4">
        <v>23</v>
      </c>
      <c r="B24" s="4" t="s">
        <v>7</v>
      </c>
      <c r="C24" s="4" t="s">
        <v>15</v>
      </c>
      <c r="D24" s="4" t="s">
        <v>12</v>
      </c>
      <c r="E24" s="4" t="s">
        <v>16</v>
      </c>
      <c r="F24" s="4">
        <v>81</v>
      </c>
      <c r="G24" s="5">
        <v>691.25399999999991</v>
      </c>
      <c r="H24" s="34"/>
      <c r="I24" s="34"/>
      <c r="J24" s="34"/>
      <c r="K24" s="34"/>
      <c r="L24" s="34"/>
      <c r="M24" s="35"/>
    </row>
    <row r="25" spans="1:13">
      <c r="A25" s="4">
        <v>24</v>
      </c>
      <c r="B25" s="4" t="s">
        <v>7</v>
      </c>
      <c r="C25" s="4" t="s">
        <v>15</v>
      </c>
      <c r="D25" s="4" t="s">
        <v>12</v>
      </c>
      <c r="E25" s="4" t="s">
        <v>16</v>
      </c>
      <c r="F25" s="4">
        <v>83</v>
      </c>
      <c r="G25" s="5">
        <v>466.6592</v>
      </c>
      <c r="H25" s="34"/>
      <c r="I25" s="34"/>
      <c r="J25" s="34"/>
      <c r="K25" s="34"/>
      <c r="L25" s="36"/>
      <c r="M25" s="36"/>
    </row>
    <row r="26" spans="1:13">
      <c r="A26" s="4">
        <v>25</v>
      </c>
      <c r="B26" s="4" t="s">
        <v>7</v>
      </c>
      <c r="C26" s="4" t="s">
        <v>15</v>
      </c>
      <c r="D26" s="6" t="s">
        <v>9</v>
      </c>
      <c r="E26" s="4" t="s">
        <v>16</v>
      </c>
      <c r="F26" s="6">
        <v>83</v>
      </c>
      <c r="G26" s="6">
        <v>855</v>
      </c>
      <c r="H26" s="34"/>
      <c r="I26" s="37"/>
      <c r="J26" s="34"/>
      <c r="K26" s="34"/>
      <c r="L26" s="34"/>
      <c r="M26" s="35"/>
    </row>
    <row r="27" spans="1:13">
      <c r="A27" s="4">
        <v>26</v>
      </c>
      <c r="B27" s="4" t="s">
        <v>7</v>
      </c>
      <c r="C27" s="4" t="s">
        <v>15</v>
      </c>
      <c r="D27" s="4" t="s">
        <v>12</v>
      </c>
      <c r="E27" s="4" t="s">
        <v>16</v>
      </c>
      <c r="F27" s="4">
        <v>84</v>
      </c>
      <c r="G27" s="5">
        <v>421.67999999999995</v>
      </c>
      <c r="H27" s="34"/>
      <c r="I27" s="37"/>
      <c r="J27" s="34"/>
      <c r="K27" s="34"/>
      <c r="L27" s="34"/>
      <c r="M27" s="35"/>
    </row>
    <row r="28" spans="1:13">
      <c r="A28" s="4">
        <v>27</v>
      </c>
      <c r="B28" s="4" t="s">
        <v>7</v>
      </c>
      <c r="C28" s="4" t="s">
        <v>15</v>
      </c>
      <c r="D28" s="4" t="s">
        <v>12</v>
      </c>
      <c r="E28" s="4" t="s">
        <v>16</v>
      </c>
      <c r="F28" s="4">
        <v>85</v>
      </c>
      <c r="G28" s="5">
        <v>725.39</v>
      </c>
      <c r="H28" s="34"/>
      <c r="I28" s="37"/>
      <c r="J28" s="34"/>
      <c r="K28" s="34"/>
      <c r="L28" s="34"/>
      <c r="M28" s="35"/>
    </row>
    <row r="29" spans="1:13">
      <c r="A29" s="4">
        <v>28</v>
      </c>
      <c r="B29" s="4" t="s">
        <v>11</v>
      </c>
      <c r="C29" s="6" t="s">
        <v>8</v>
      </c>
      <c r="D29" s="6" t="s">
        <v>9</v>
      </c>
      <c r="E29" s="4" t="s">
        <v>10</v>
      </c>
      <c r="F29" s="6">
        <v>87</v>
      </c>
      <c r="G29" s="6">
        <v>170</v>
      </c>
      <c r="H29" s="34"/>
      <c r="I29" s="34"/>
      <c r="J29" s="34"/>
      <c r="K29" s="34"/>
      <c r="L29" s="36"/>
      <c r="M29" s="36"/>
    </row>
    <row r="30" spans="1:13">
      <c r="A30" s="4">
        <v>29</v>
      </c>
      <c r="B30" s="4" t="s">
        <v>11</v>
      </c>
      <c r="C30" s="6" t="s">
        <v>8</v>
      </c>
      <c r="D30" s="6" t="s">
        <v>9</v>
      </c>
      <c r="E30" s="4" t="s">
        <v>10</v>
      </c>
      <c r="F30" s="6">
        <v>90</v>
      </c>
      <c r="G30" s="6">
        <v>189</v>
      </c>
      <c r="H30" s="34"/>
      <c r="I30" s="34"/>
      <c r="J30" s="34"/>
      <c r="K30" s="34"/>
      <c r="L30" s="34"/>
      <c r="M30" s="35"/>
    </row>
    <row r="31" spans="1:13">
      <c r="A31" s="4">
        <v>30</v>
      </c>
      <c r="B31" s="4" t="s">
        <v>7</v>
      </c>
      <c r="C31" s="4" t="s">
        <v>15</v>
      </c>
      <c r="D31" s="4" t="s">
        <v>12</v>
      </c>
      <c r="E31" s="4" t="s">
        <v>16</v>
      </c>
      <c r="F31" s="4">
        <v>90</v>
      </c>
      <c r="G31" s="5">
        <v>406.61999999999995</v>
      </c>
      <c r="H31" s="34"/>
      <c r="I31" s="34"/>
      <c r="J31" s="34"/>
      <c r="K31" s="34"/>
      <c r="L31" s="34"/>
      <c r="M31" s="35"/>
    </row>
    <row r="32" spans="1:13">
      <c r="A32" s="4">
        <v>31</v>
      </c>
      <c r="B32" s="4" t="s">
        <v>11</v>
      </c>
      <c r="C32" s="4" t="s">
        <v>17</v>
      </c>
      <c r="D32" s="4" t="s">
        <v>12</v>
      </c>
      <c r="E32" s="4" t="s">
        <v>10</v>
      </c>
      <c r="F32" s="6">
        <v>92</v>
      </c>
      <c r="G32" s="6">
        <v>195</v>
      </c>
      <c r="H32" s="34"/>
      <c r="I32" s="34"/>
      <c r="J32" s="34"/>
      <c r="K32" s="34"/>
      <c r="L32" s="34"/>
      <c r="M32" s="35"/>
    </row>
    <row r="33" spans="1:7">
      <c r="A33" s="4">
        <v>32</v>
      </c>
      <c r="B33" s="4" t="s">
        <v>7</v>
      </c>
      <c r="C33" s="4" t="s">
        <v>15</v>
      </c>
      <c r="D33" s="4" t="s">
        <v>12</v>
      </c>
      <c r="E33" s="4" t="s">
        <v>16</v>
      </c>
      <c r="F33" s="4">
        <v>92</v>
      </c>
      <c r="G33" s="5">
        <v>831.31200000000001</v>
      </c>
    </row>
    <row r="34" spans="1:7">
      <c r="A34" s="4">
        <v>33</v>
      </c>
      <c r="B34" s="4" t="s">
        <v>7</v>
      </c>
      <c r="C34" s="4" t="s">
        <v>15</v>
      </c>
      <c r="D34" s="4" t="s">
        <v>12</v>
      </c>
      <c r="E34" s="4" t="s">
        <v>16</v>
      </c>
      <c r="F34" s="4">
        <v>100</v>
      </c>
      <c r="G34" s="5">
        <v>702.79999999999984</v>
      </c>
    </row>
    <row r="35" spans="1:7">
      <c r="A35" s="4">
        <v>34</v>
      </c>
      <c r="B35" s="4" t="s">
        <v>11</v>
      </c>
      <c r="C35" s="6" t="s">
        <v>8</v>
      </c>
      <c r="D35" s="6" t="s">
        <v>9</v>
      </c>
      <c r="E35" s="4" t="s">
        <v>10</v>
      </c>
      <c r="F35" s="6">
        <v>102</v>
      </c>
      <c r="G35" s="6">
        <v>200</v>
      </c>
    </row>
    <row r="36" spans="1:7">
      <c r="A36" s="4">
        <v>35</v>
      </c>
      <c r="B36" s="4" t="s">
        <v>7</v>
      </c>
      <c r="C36" s="4" t="s">
        <v>15</v>
      </c>
      <c r="D36" s="4" t="s">
        <v>12</v>
      </c>
      <c r="E36" s="4" t="s">
        <v>16</v>
      </c>
      <c r="F36" s="4">
        <v>102</v>
      </c>
      <c r="G36" s="5">
        <v>921.67199999999991</v>
      </c>
    </row>
    <row r="37" spans="1:7">
      <c r="A37" s="4">
        <v>36</v>
      </c>
      <c r="B37" s="4" t="s">
        <v>7</v>
      </c>
      <c r="C37" s="4" t="s">
        <v>15</v>
      </c>
      <c r="D37" s="4" t="s">
        <v>12</v>
      </c>
      <c r="E37" s="4" t="s">
        <v>16</v>
      </c>
      <c r="F37" s="4">
        <v>105</v>
      </c>
      <c r="G37" s="5">
        <v>2196.2953367875648</v>
      </c>
    </row>
    <row r="38" spans="1:7">
      <c r="A38" s="4">
        <v>37</v>
      </c>
      <c r="B38" s="4" t="s">
        <v>7</v>
      </c>
      <c r="C38" s="4" t="s">
        <v>15</v>
      </c>
      <c r="D38" s="4" t="s">
        <v>12</v>
      </c>
      <c r="E38" s="4" t="s">
        <v>16</v>
      </c>
      <c r="F38" s="4">
        <v>108</v>
      </c>
      <c r="G38" s="5">
        <v>650.59199999999998</v>
      </c>
    </row>
    <row r="39" spans="1:7">
      <c r="A39" s="4">
        <v>38</v>
      </c>
      <c r="B39" s="4" t="s">
        <v>7</v>
      </c>
      <c r="C39" s="4" t="s">
        <v>17</v>
      </c>
      <c r="D39" s="6" t="s">
        <v>14</v>
      </c>
      <c r="E39" s="4" t="s">
        <v>16</v>
      </c>
      <c r="F39" s="6">
        <v>108</v>
      </c>
      <c r="G39" s="6">
        <v>1276</v>
      </c>
    </row>
    <row r="40" spans="1:7">
      <c r="A40" s="4">
        <v>39</v>
      </c>
      <c r="B40" s="4" t="s">
        <v>7</v>
      </c>
      <c r="C40" s="4" t="s">
        <v>17</v>
      </c>
      <c r="D40" s="4" t="s">
        <v>12</v>
      </c>
      <c r="E40" s="4" t="s">
        <v>16</v>
      </c>
      <c r="F40" s="6">
        <v>110</v>
      </c>
      <c r="G40" s="6">
        <v>884</v>
      </c>
    </row>
    <row r="41" spans="1:7">
      <c r="A41" s="4">
        <v>40</v>
      </c>
      <c r="B41" s="4" t="s">
        <v>7</v>
      </c>
      <c r="C41" s="4" t="s">
        <v>15</v>
      </c>
      <c r="D41" s="4" t="s">
        <v>12</v>
      </c>
      <c r="E41" s="4" t="s">
        <v>16</v>
      </c>
      <c r="F41" s="4">
        <v>114</v>
      </c>
      <c r="G41" s="5">
        <v>502</v>
      </c>
    </row>
    <row r="42" spans="1:7">
      <c r="A42" s="4">
        <v>41</v>
      </c>
      <c r="B42" s="4" t="s">
        <v>7</v>
      </c>
      <c r="C42" s="4" t="s">
        <v>15</v>
      </c>
      <c r="D42" s="6" t="s">
        <v>9</v>
      </c>
      <c r="E42" s="4" t="s">
        <v>16</v>
      </c>
      <c r="F42" s="6">
        <v>114</v>
      </c>
      <c r="G42" s="6">
        <v>7290</v>
      </c>
    </row>
    <row r="43" spans="1:7">
      <c r="A43" s="4">
        <v>42</v>
      </c>
      <c r="B43" s="4" t="s">
        <v>11</v>
      </c>
      <c r="C43" s="6" t="s">
        <v>8</v>
      </c>
      <c r="D43" s="6" t="s">
        <v>9</v>
      </c>
      <c r="E43" s="4" t="s">
        <v>16</v>
      </c>
      <c r="F43" s="6">
        <v>115</v>
      </c>
      <c r="G43" s="6">
        <v>285</v>
      </c>
    </row>
    <row r="44" spans="1:7">
      <c r="A44" s="4">
        <v>43</v>
      </c>
      <c r="B44" s="4" t="s">
        <v>7</v>
      </c>
      <c r="C44" s="4" t="s">
        <v>15</v>
      </c>
      <c r="D44" s="4" t="s">
        <v>12</v>
      </c>
      <c r="E44" s="4" t="s">
        <v>16</v>
      </c>
      <c r="F44" s="4">
        <v>115</v>
      </c>
      <c r="G44" s="5">
        <v>692.75999999999988</v>
      </c>
    </row>
    <row r="45" spans="1:7">
      <c r="A45" s="4">
        <v>44</v>
      </c>
      <c r="B45" s="4" t="s">
        <v>7</v>
      </c>
      <c r="C45" s="4" t="s">
        <v>15</v>
      </c>
      <c r="D45" s="6" t="s">
        <v>9</v>
      </c>
      <c r="E45" s="4" t="s">
        <v>16</v>
      </c>
      <c r="F45" s="4">
        <v>115</v>
      </c>
      <c r="G45" s="5">
        <v>2711.6165803108811</v>
      </c>
    </row>
    <row r="46" spans="1:7">
      <c r="A46" s="4">
        <v>45</v>
      </c>
      <c r="B46" s="4" t="s">
        <v>7</v>
      </c>
      <c r="C46" s="4" t="s">
        <v>15</v>
      </c>
      <c r="D46" s="4" t="s">
        <v>12</v>
      </c>
      <c r="E46" s="4" t="s">
        <v>16</v>
      </c>
      <c r="F46" s="4">
        <v>117</v>
      </c>
      <c r="G46" s="5">
        <v>728.30159999999989</v>
      </c>
    </row>
    <row r="47" spans="1:7">
      <c r="A47" s="4">
        <v>46</v>
      </c>
      <c r="B47" s="4" t="s">
        <v>7</v>
      </c>
      <c r="C47" s="4" t="s">
        <v>15</v>
      </c>
      <c r="D47" s="4" t="s">
        <v>12</v>
      </c>
      <c r="E47" s="4" t="s">
        <v>16</v>
      </c>
      <c r="F47" s="4">
        <v>117</v>
      </c>
      <c r="G47" s="5">
        <v>998.47799999999984</v>
      </c>
    </row>
    <row r="48" spans="1:7">
      <c r="A48" s="4">
        <v>47</v>
      </c>
      <c r="B48" s="4" t="s">
        <v>7</v>
      </c>
      <c r="C48" s="4" t="s">
        <v>15</v>
      </c>
      <c r="D48" s="4" t="s">
        <v>12</v>
      </c>
      <c r="E48" s="4" t="s">
        <v>16</v>
      </c>
      <c r="F48" s="4">
        <v>118</v>
      </c>
      <c r="G48" s="5">
        <v>1795.0673575129535</v>
      </c>
    </row>
    <row r="49" spans="1:7">
      <c r="A49" s="4">
        <v>48</v>
      </c>
      <c r="B49" s="4" t="s">
        <v>7</v>
      </c>
      <c r="C49" s="4" t="s">
        <v>17</v>
      </c>
      <c r="D49" s="4" t="s">
        <v>12</v>
      </c>
      <c r="E49" s="4" t="s">
        <v>16</v>
      </c>
      <c r="F49" s="6">
        <v>122</v>
      </c>
      <c r="G49" s="6">
        <v>1045</v>
      </c>
    </row>
    <row r="50" spans="1:7">
      <c r="A50" s="4">
        <v>49</v>
      </c>
      <c r="B50" s="4" t="s">
        <v>7</v>
      </c>
      <c r="C50" s="4" t="s">
        <v>15</v>
      </c>
      <c r="D50" s="4" t="s">
        <v>12</v>
      </c>
      <c r="E50" s="4" t="s">
        <v>16</v>
      </c>
      <c r="F50" s="4">
        <v>125</v>
      </c>
      <c r="G50" s="5">
        <v>1004</v>
      </c>
    </row>
    <row r="51" spans="1:7">
      <c r="A51" s="4">
        <v>50</v>
      </c>
      <c r="B51" s="4" t="s">
        <v>11</v>
      </c>
      <c r="C51" s="6" t="s">
        <v>8</v>
      </c>
      <c r="D51" s="4" t="s">
        <v>12</v>
      </c>
      <c r="E51" s="4" t="s">
        <v>10</v>
      </c>
      <c r="F51" s="6">
        <v>127</v>
      </c>
      <c r="G51" s="6">
        <v>215</v>
      </c>
    </row>
    <row r="52" spans="1:7">
      <c r="A52" s="4">
        <v>51</v>
      </c>
      <c r="B52" s="4" t="s">
        <v>7</v>
      </c>
      <c r="C52" s="4" t="s">
        <v>15</v>
      </c>
      <c r="D52" s="4" t="s">
        <v>12</v>
      </c>
      <c r="E52" s="4" t="s">
        <v>16</v>
      </c>
      <c r="F52" s="4">
        <v>127</v>
      </c>
      <c r="G52" s="5">
        <v>1020.064</v>
      </c>
    </row>
    <row r="53" spans="1:7">
      <c r="A53" s="4">
        <v>52</v>
      </c>
      <c r="B53" s="4" t="s">
        <v>7</v>
      </c>
      <c r="C53" s="4" t="s">
        <v>15</v>
      </c>
      <c r="D53" s="4" t="s">
        <v>12</v>
      </c>
      <c r="E53" s="4" t="s">
        <v>16</v>
      </c>
      <c r="F53" s="6">
        <v>135</v>
      </c>
      <c r="G53" s="6">
        <v>1053</v>
      </c>
    </row>
    <row r="54" spans="1:7">
      <c r="A54" s="4">
        <v>53</v>
      </c>
      <c r="B54" s="4" t="s">
        <v>11</v>
      </c>
      <c r="C54" s="6" t="s">
        <v>8</v>
      </c>
      <c r="D54" s="6" t="s">
        <v>9</v>
      </c>
      <c r="E54" s="4" t="s">
        <v>10</v>
      </c>
      <c r="F54" s="6">
        <v>136</v>
      </c>
      <c r="G54" s="6">
        <v>220</v>
      </c>
    </row>
    <row r="55" spans="1:7">
      <c r="A55" s="4">
        <v>54</v>
      </c>
      <c r="B55" s="4" t="s">
        <v>7</v>
      </c>
      <c r="C55" s="4" t="s">
        <v>15</v>
      </c>
      <c r="D55" s="4" t="s">
        <v>12</v>
      </c>
      <c r="E55" s="4" t="s">
        <v>16</v>
      </c>
      <c r="F55" s="4">
        <v>136</v>
      </c>
      <c r="G55" s="5">
        <v>1024.08</v>
      </c>
    </row>
    <row r="56" spans="1:7">
      <c r="A56" s="4">
        <v>55</v>
      </c>
      <c r="B56" s="4" t="s">
        <v>7</v>
      </c>
      <c r="C56" s="4" t="s">
        <v>15</v>
      </c>
      <c r="D56" s="4" t="s">
        <v>12</v>
      </c>
      <c r="E56" s="4" t="s">
        <v>16</v>
      </c>
      <c r="F56" s="4">
        <v>143</v>
      </c>
      <c r="G56" s="5">
        <v>861.4319999999999</v>
      </c>
    </row>
    <row r="57" spans="1:7">
      <c r="A57" s="4">
        <v>56</v>
      </c>
      <c r="B57" s="4" t="s">
        <v>11</v>
      </c>
      <c r="C57" s="6" t="s">
        <v>8</v>
      </c>
      <c r="D57" s="6" t="s">
        <v>9</v>
      </c>
      <c r="E57" s="4" t="s">
        <v>10</v>
      </c>
      <c r="F57" s="6">
        <v>148</v>
      </c>
      <c r="G57" s="6">
        <v>186</v>
      </c>
    </row>
    <row r="58" spans="1:7">
      <c r="A58" s="4">
        <v>57</v>
      </c>
      <c r="B58" s="4" t="s">
        <v>11</v>
      </c>
      <c r="C58" s="6" t="s">
        <v>8</v>
      </c>
      <c r="D58" s="6" t="s">
        <v>9</v>
      </c>
      <c r="E58" s="4" t="s">
        <v>10</v>
      </c>
      <c r="F58" s="6">
        <v>152</v>
      </c>
      <c r="G58" s="6">
        <v>237</v>
      </c>
    </row>
    <row r="59" spans="1:7">
      <c r="A59" s="4">
        <v>58</v>
      </c>
      <c r="B59" s="4" t="s">
        <v>7</v>
      </c>
      <c r="C59" s="4" t="s">
        <v>15</v>
      </c>
      <c r="D59" s="6" t="s">
        <v>9</v>
      </c>
      <c r="E59" s="4" t="s">
        <v>16</v>
      </c>
      <c r="F59" s="6">
        <v>152</v>
      </c>
      <c r="G59" s="6">
        <v>2389</v>
      </c>
    </row>
    <row r="60" spans="1:7">
      <c r="A60" s="4">
        <v>59</v>
      </c>
      <c r="B60" s="4" t="s">
        <v>7</v>
      </c>
      <c r="C60" s="4" t="s">
        <v>15</v>
      </c>
      <c r="D60" s="4" t="s">
        <v>12</v>
      </c>
      <c r="E60" s="4" t="s">
        <v>16</v>
      </c>
      <c r="F60" s="4">
        <v>153</v>
      </c>
      <c r="G60" s="5">
        <v>1228.896</v>
      </c>
    </row>
    <row r="61" spans="1:7">
      <c r="A61" s="4">
        <v>60</v>
      </c>
      <c r="B61" s="4" t="s">
        <v>7</v>
      </c>
      <c r="C61" s="4" t="s">
        <v>15</v>
      </c>
      <c r="D61" s="4" t="s">
        <v>12</v>
      </c>
      <c r="E61" s="4" t="s">
        <v>16</v>
      </c>
      <c r="F61" s="6">
        <v>156</v>
      </c>
      <c r="G61" s="6">
        <v>1025</v>
      </c>
    </row>
    <row r="62" spans="1:7">
      <c r="A62" s="4">
        <v>61</v>
      </c>
      <c r="B62" s="4" t="s">
        <v>7</v>
      </c>
      <c r="C62" s="4" t="s">
        <v>15</v>
      </c>
      <c r="D62" s="6" t="s">
        <v>9</v>
      </c>
      <c r="E62" s="4" t="s">
        <v>16</v>
      </c>
      <c r="F62" s="4">
        <v>159</v>
      </c>
      <c r="G62" s="5">
        <v>3688.6352331606213</v>
      </c>
    </row>
    <row r="63" spans="1:7">
      <c r="A63" s="4">
        <v>62</v>
      </c>
      <c r="B63" s="4" t="s">
        <v>11</v>
      </c>
      <c r="C63" s="6" t="s">
        <v>8</v>
      </c>
      <c r="D63" s="6" t="s">
        <v>9</v>
      </c>
      <c r="E63" s="4" t="s">
        <v>10</v>
      </c>
      <c r="F63" s="6">
        <v>160</v>
      </c>
      <c r="G63" s="6">
        <v>242</v>
      </c>
    </row>
    <row r="64" spans="1:7">
      <c r="A64" s="4">
        <v>63</v>
      </c>
      <c r="B64" s="4" t="s">
        <v>7</v>
      </c>
      <c r="C64" s="4" t="s">
        <v>15</v>
      </c>
      <c r="D64" s="4" t="s">
        <v>12</v>
      </c>
      <c r="E64" s="4" t="s">
        <v>16</v>
      </c>
      <c r="F64" s="4">
        <v>162</v>
      </c>
      <c r="G64" s="5">
        <v>1305</v>
      </c>
    </row>
    <row r="65" spans="1:7">
      <c r="A65" s="4">
        <v>64</v>
      </c>
      <c r="B65" s="4" t="s">
        <v>7</v>
      </c>
      <c r="C65" s="4" t="s">
        <v>15</v>
      </c>
      <c r="D65" s="4" t="s">
        <v>12</v>
      </c>
      <c r="E65" s="4" t="s">
        <v>16</v>
      </c>
      <c r="F65" s="4">
        <v>162</v>
      </c>
      <c r="G65" s="5">
        <v>1903.7602072538862</v>
      </c>
    </row>
    <row r="66" spans="1:7">
      <c r="A66" s="4">
        <v>65</v>
      </c>
      <c r="B66" s="4" t="s">
        <v>11</v>
      </c>
      <c r="C66" s="6" t="s">
        <v>8</v>
      </c>
      <c r="D66" s="6" t="s">
        <v>9</v>
      </c>
      <c r="E66" s="4" t="s">
        <v>10</v>
      </c>
      <c r="F66" s="6">
        <v>169</v>
      </c>
      <c r="G66" s="6">
        <v>215</v>
      </c>
    </row>
    <row r="67" spans="1:7">
      <c r="A67" s="4">
        <v>66</v>
      </c>
      <c r="B67" s="4" t="s">
        <v>7</v>
      </c>
      <c r="C67" s="4" t="s">
        <v>15</v>
      </c>
      <c r="D67" s="6" t="s">
        <v>9</v>
      </c>
      <c r="E67" s="4" t="s">
        <v>16</v>
      </c>
      <c r="F67" s="6">
        <v>174</v>
      </c>
      <c r="G67" s="6">
        <v>1876</v>
      </c>
    </row>
    <row r="68" spans="1:7">
      <c r="A68" s="4">
        <v>67</v>
      </c>
      <c r="B68" s="4" t="s">
        <v>11</v>
      </c>
      <c r="C68" s="6" t="s">
        <v>8</v>
      </c>
      <c r="D68" s="6" t="s">
        <v>9</v>
      </c>
      <c r="E68" s="4" t="s">
        <v>16</v>
      </c>
      <c r="F68" s="6">
        <v>178</v>
      </c>
      <c r="G68" s="6">
        <v>290</v>
      </c>
    </row>
    <row r="69" spans="1:7">
      <c r="A69" s="4">
        <v>68</v>
      </c>
      <c r="B69" s="4" t="s">
        <v>7</v>
      </c>
      <c r="C69" s="4" t="s">
        <v>15</v>
      </c>
      <c r="D69" s="6" t="s">
        <v>9</v>
      </c>
      <c r="E69" s="4" t="s">
        <v>16</v>
      </c>
      <c r="F69" s="6">
        <v>179</v>
      </c>
      <c r="G69" s="6">
        <v>789</v>
      </c>
    </row>
    <row r="70" spans="1:7">
      <c r="A70" s="4">
        <v>69</v>
      </c>
      <c r="B70" s="4" t="s">
        <v>7</v>
      </c>
      <c r="C70" s="4" t="s">
        <v>15</v>
      </c>
      <c r="D70" s="6" t="s">
        <v>9</v>
      </c>
      <c r="E70" s="4" t="s">
        <v>16</v>
      </c>
      <c r="F70" s="6">
        <v>180</v>
      </c>
      <c r="G70" s="6">
        <v>3063</v>
      </c>
    </row>
    <row r="71" spans="1:7">
      <c r="A71" s="4">
        <v>70</v>
      </c>
      <c r="B71" s="4" t="s">
        <v>7</v>
      </c>
      <c r="C71" s="4" t="s">
        <v>15</v>
      </c>
      <c r="D71" s="6" t="s">
        <v>9</v>
      </c>
      <c r="E71" s="4" t="s">
        <v>16</v>
      </c>
      <c r="F71" s="6">
        <v>182</v>
      </c>
      <c r="G71" s="6">
        <v>2629.2</v>
      </c>
    </row>
    <row r="72" spans="1:7">
      <c r="A72" s="4">
        <v>71</v>
      </c>
      <c r="B72" s="4" t="s">
        <v>7</v>
      </c>
      <c r="C72" s="4" t="s">
        <v>15</v>
      </c>
      <c r="D72" s="6" t="s">
        <v>14</v>
      </c>
      <c r="E72" s="4" t="s">
        <v>16</v>
      </c>
      <c r="F72" s="6">
        <v>183</v>
      </c>
      <c r="G72" s="6">
        <v>460</v>
      </c>
    </row>
    <row r="73" spans="1:7">
      <c r="A73" s="4">
        <v>72</v>
      </c>
      <c r="B73" s="4" t="s">
        <v>7</v>
      </c>
      <c r="C73" s="4" t="s">
        <v>17</v>
      </c>
      <c r="D73" s="4" t="s">
        <v>12</v>
      </c>
      <c r="E73" s="4" t="s">
        <v>16</v>
      </c>
      <c r="F73" s="6">
        <v>189</v>
      </c>
      <c r="G73" s="6">
        <v>315</v>
      </c>
    </row>
    <row r="74" spans="1:7">
      <c r="A74" s="4">
        <v>73</v>
      </c>
      <c r="B74" s="4" t="s">
        <v>7</v>
      </c>
      <c r="C74" s="4" t="s">
        <v>15</v>
      </c>
      <c r="D74" s="4" t="s">
        <v>12</v>
      </c>
      <c r="E74" s="4" t="s">
        <v>16</v>
      </c>
      <c r="F74" s="4">
        <v>193</v>
      </c>
      <c r="G74" s="5">
        <v>734</v>
      </c>
    </row>
    <row r="75" spans="1:7">
      <c r="A75" s="4">
        <v>74</v>
      </c>
      <c r="B75" s="4" t="s">
        <v>7</v>
      </c>
      <c r="C75" s="4" t="s">
        <v>17</v>
      </c>
      <c r="D75" s="4" t="s">
        <v>12</v>
      </c>
      <c r="E75" s="4" t="s">
        <v>16</v>
      </c>
      <c r="F75" s="6">
        <v>195</v>
      </c>
      <c r="G75" s="6">
        <v>322</v>
      </c>
    </row>
    <row r="76" spans="1:7">
      <c r="A76" s="4">
        <v>75</v>
      </c>
      <c r="B76" s="4" t="s">
        <v>7</v>
      </c>
      <c r="C76" s="4" t="s">
        <v>15</v>
      </c>
      <c r="D76" s="4" t="s">
        <v>12</v>
      </c>
      <c r="E76" s="4" t="s">
        <v>16</v>
      </c>
      <c r="F76" s="4">
        <v>209</v>
      </c>
      <c r="G76" s="5">
        <v>1993.4419999999996</v>
      </c>
    </row>
    <row r="77" spans="1:7">
      <c r="A77" s="4">
        <v>76</v>
      </c>
      <c r="B77" s="4" t="s">
        <v>7</v>
      </c>
      <c r="C77" s="4" t="s">
        <v>15</v>
      </c>
      <c r="D77" s="6" t="s">
        <v>9</v>
      </c>
      <c r="E77" s="4" t="s">
        <v>16</v>
      </c>
      <c r="F77" s="4">
        <v>237</v>
      </c>
      <c r="G77" s="5">
        <v>3064.5450777202072</v>
      </c>
    </row>
    <row r="78" spans="1:7">
      <c r="A78" s="4">
        <v>77</v>
      </c>
      <c r="B78" s="4" t="s">
        <v>7</v>
      </c>
      <c r="C78" s="6" t="s">
        <v>8</v>
      </c>
      <c r="D78" s="6" t="s">
        <v>9</v>
      </c>
      <c r="E78" s="4" t="s">
        <v>16</v>
      </c>
      <c r="F78" s="6">
        <v>250</v>
      </c>
      <c r="G78" s="6">
        <v>400</v>
      </c>
    </row>
    <row r="79" spans="1:7">
      <c r="A79" s="4">
        <v>78</v>
      </c>
      <c r="B79" s="4" t="s">
        <v>7</v>
      </c>
      <c r="C79" s="4" t="s">
        <v>15</v>
      </c>
      <c r="D79" s="6" t="s">
        <v>9</v>
      </c>
      <c r="E79" s="4" t="s">
        <v>16</v>
      </c>
      <c r="F79" s="4">
        <v>297</v>
      </c>
      <c r="G79" s="5">
        <v>2683.6919999999996</v>
      </c>
    </row>
    <row r="80" spans="1:7">
      <c r="A80" s="4">
        <v>79</v>
      </c>
      <c r="B80" s="4" t="s">
        <v>7</v>
      </c>
      <c r="C80" s="4" t="s">
        <v>15</v>
      </c>
      <c r="D80" s="6" t="s">
        <v>9</v>
      </c>
      <c r="E80" s="4" t="s">
        <v>16</v>
      </c>
      <c r="F80" s="6">
        <v>297</v>
      </c>
      <c r="G80" s="6">
        <v>7449</v>
      </c>
    </row>
    <row r="81" spans="1:7">
      <c r="A81" s="4">
        <v>80</v>
      </c>
      <c r="B81" s="4" t="s">
        <v>7</v>
      </c>
      <c r="C81" s="4" t="s">
        <v>15</v>
      </c>
      <c r="D81" s="4" t="s">
        <v>12</v>
      </c>
      <c r="E81" s="4" t="s">
        <v>16</v>
      </c>
      <c r="F81" s="4">
        <v>310</v>
      </c>
      <c r="G81" s="5">
        <v>933.7199999999998</v>
      </c>
    </row>
    <row r="82" spans="1:7">
      <c r="A82" s="4">
        <v>81</v>
      </c>
      <c r="B82" s="4" t="s">
        <v>7</v>
      </c>
      <c r="C82" s="4" t="s">
        <v>15</v>
      </c>
      <c r="D82" s="6" t="s">
        <v>9</v>
      </c>
      <c r="E82" s="4" t="s">
        <v>16</v>
      </c>
      <c r="F82" s="6">
        <v>382</v>
      </c>
      <c r="G82" s="6">
        <v>22000</v>
      </c>
    </row>
    <row r="83" spans="1:7">
      <c r="A83" s="4">
        <v>82</v>
      </c>
      <c r="B83" s="4" t="s">
        <v>7</v>
      </c>
      <c r="C83" s="4" t="s">
        <v>17</v>
      </c>
      <c r="D83" s="6" t="s">
        <v>9</v>
      </c>
      <c r="E83" s="4" t="s">
        <v>16</v>
      </c>
      <c r="F83" s="6">
        <v>443</v>
      </c>
      <c r="G83" s="6">
        <v>796</v>
      </c>
    </row>
    <row r="84" spans="1:7">
      <c r="A84" s="4">
        <v>83</v>
      </c>
      <c r="B84" s="4" t="s">
        <v>7</v>
      </c>
      <c r="C84" s="4" t="s">
        <v>15</v>
      </c>
      <c r="D84" s="6" t="s">
        <v>9</v>
      </c>
      <c r="E84" s="4" t="s">
        <v>16</v>
      </c>
      <c r="F84" s="6">
        <v>460</v>
      </c>
      <c r="G84" s="6">
        <v>1667</v>
      </c>
    </row>
    <row r="85" spans="1:7">
      <c r="A85" s="4">
        <v>84</v>
      </c>
      <c r="B85" s="4" t="s">
        <v>7</v>
      </c>
      <c r="C85" s="6" t="s">
        <v>8</v>
      </c>
      <c r="D85" s="6" t="s">
        <v>9</v>
      </c>
      <c r="E85" s="4" t="s">
        <v>16</v>
      </c>
      <c r="F85" s="6">
        <v>500</v>
      </c>
      <c r="G85" s="6">
        <v>700</v>
      </c>
    </row>
    <row r="86" spans="1:7">
      <c r="A86" s="4">
        <v>85</v>
      </c>
      <c r="B86" s="4" t="s">
        <v>7</v>
      </c>
      <c r="C86" s="4" t="s">
        <v>15</v>
      </c>
      <c r="D86" s="6" t="s">
        <v>9</v>
      </c>
      <c r="E86" s="4" t="s">
        <v>16</v>
      </c>
      <c r="F86" s="4">
        <v>500</v>
      </c>
      <c r="G86" s="5">
        <v>2510</v>
      </c>
    </row>
    <row r="87" spans="1:7">
      <c r="A87" s="4">
        <v>86</v>
      </c>
      <c r="B87" s="4" t="s">
        <v>7</v>
      </c>
      <c r="C87" s="4" t="s">
        <v>15</v>
      </c>
      <c r="D87" s="6" t="s">
        <v>9</v>
      </c>
      <c r="E87" s="4" t="s">
        <v>16</v>
      </c>
      <c r="F87" s="6">
        <v>568</v>
      </c>
      <c r="G87" s="6">
        <v>5873</v>
      </c>
    </row>
    <row r="88" spans="1:7">
      <c r="A88" s="4">
        <v>87</v>
      </c>
      <c r="B88" s="4" t="s">
        <v>7</v>
      </c>
      <c r="C88" s="4" t="s">
        <v>15</v>
      </c>
      <c r="D88" s="6" t="s">
        <v>9</v>
      </c>
      <c r="E88" s="4" t="s">
        <v>16</v>
      </c>
      <c r="F88" s="6">
        <v>620</v>
      </c>
      <c r="G88" s="6">
        <v>18160</v>
      </c>
    </row>
    <row r="89" spans="1:7">
      <c r="A89" s="4">
        <v>88</v>
      </c>
      <c r="B89" s="4" t="s">
        <v>7</v>
      </c>
      <c r="C89" s="4" t="s">
        <v>15</v>
      </c>
      <c r="D89" s="6" t="s">
        <v>9</v>
      </c>
      <c r="E89" s="4" t="s">
        <v>16</v>
      </c>
      <c r="F89" s="6">
        <v>730</v>
      </c>
      <c r="G89" s="6">
        <v>20975</v>
      </c>
    </row>
    <row r="90" spans="1:7">
      <c r="A90" s="4">
        <v>89</v>
      </c>
      <c r="B90" s="4" t="s">
        <v>7</v>
      </c>
      <c r="C90" s="4" t="s">
        <v>15</v>
      </c>
      <c r="D90" s="6" t="s">
        <v>9</v>
      </c>
      <c r="E90" s="4" t="s">
        <v>16</v>
      </c>
      <c r="F90" s="6">
        <v>779</v>
      </c>
      <c r="G90" s="6">
        <v>25040</v>
      </c>
    </row>
    <row r="91" spans="1:7">
      <c r="A91" s="4">
        <v>90</v>
      </c>
      <c r="B91" s="4" t="s">
        <v>7</v>
      </c>
      <c r="C91" s="4" t="s">
        <v>15</v>
      </c>
      <c r="D91" s="6" t="s">
        <v>14</v>
      </c>
      <c r="E91" s="4" t="s">
        <v>16</v>
      </c>
      <c r="F91" s="6">
        <v>849</v>
      </c>
      <c r="G91" s="6">
        <v>1874</v>
      </c>
    </row>
    <row r="92" spans="1:7">
      <c r="D92"/>
      <c r="F92"/>
      <c r="G92"/>
    </row>
    <row r="93" spans="1:7">
      <c r="D93"/>
      <c r="F93"/>
      <c r="G93"/>
    </row>
    <row r="94" spans="1:7">
      <c r="D94"/>
      <c r="F94"/>
      <c r="G94"/>
    </row>
    <row r="95" spans="1:7">
      <c r="D95"/>
      <c r="F95"/>
      <c r="G95"/>
    </row>
    <row r="96" spans="1:7">
      <c r="D96"/>
      <c r="F96"/>
      <c r="G96"/>
    </row>
    <row r="97" spans="4:7">
      <c r="D97"/>
      <c r="F97"/>
      <c r="G97"/>
    </row>
    <row r="98" spans="4:7">
      <c r="D98"/>
      <c r="F98"/>
      <c r="G98"/>
    </row>
    <row r="99" spans="4:7">
      <c r="D99"/>
      <c r="F99"/>
      <c r="G99"/>
    </row>
    <row r="100" spans="4:7">
      <c r="D100"/>
      <c r="F100"/>
      <c r="G100"/>
    </row>
    <row r="101" spans="4:7">
      <c r="D101"/>
      <c r="F101"/>
      <c r="G101"/>
    </row>
    <row r="102" spans="4:7">
      <c r="D102"/>
      <c r="F102"/>
      <c r="G102"/>
    </row>
    <row r="103" spans="4:7">
      <c r="D103"/>
      <c r="F103"/>
      <c r="G103"/>
    </row>
    <row r="104" spans="4:7">
      <c r="D104"/>
      <c r="F104"/>
      <c r="G104"/>
    </row>
    <row r="105" spans="4:7">
      <c r="D105"/>
      <c r="F105"/>
      <c r="G105"/>
    </row>
    <row r="106" spans="4:7">
      <c r="D106"/>
      <c r="F106"/>
      <c r="G106"/>
    </row>
    <row r="107" spans="4:7">
      <c r="D107"/>
      <c r="F107"/>
      <c r="G107"/>
    </row>
    <row r="108" spans="4:7">
      <c r="D108"/>
      <c r="F108"/>
      <c r="G108"/>
    </row>
    <row r="109" spans="4:7">
      <c r="D109"/>
      <c r="F109"/>
      <c r="G109"/>
    </row>
    <row r="110" spans="4:7">
      <c r="D110"/>
      <c r="F110"/>
      <c r="G110"/>
    </row>
    <row r="111" spans="4:7">
      <c r="D111"/>
      <c r="F111"/>
      <c r="G111"/>
    </row>
    <row r="112" spans="4:7">
      <c r="D112"/>
      <c r="F112"/>
      <c r="G112"/>
    </row>
    <row r="113" spans="3:7">
      <c r="D113"/>
      <c r="F113"/>
      <c r="G113"/>
    </row>
    <row r="114" spans="3:7">
      <c r="D114"/>
      <c r="F114"/>
      <c r="G114"/>
    </row>
    <row r="115" spans="3:7">
      <c r="D115"/>
      <c r="F115"/>
      <c r="G115"/>
    </row>
    <row r="116" spans="3:7">
      <c r="D116"/>
      <c r="F116"/>
      <c r="G116"/>
    </row>
    <row r="117" spans="3:7">
      <c r="D117"/>
      <c r="F117"/>
      <c r="G117"/>
    </row>
    <row r="118" spans="3:7">
      <c r="D118"/>
      <c r="F118"/>
      <c r="G118"/>
    </row>
    <row r="119" spans="3:7">
      <c r="C119"/>
      <c r="D119"/>
      <c r="G119"/>
    </row>
    <row r="120" spans="3:7">
      <c r="C120"/>
      <c r="D120"/>
    </row>
    <row r="121" spans="3:7">
      <c r="D121"/>
    </row>
    <row r="122" spans="3:7">
      <c r="D122"/>
    </row>
    <row r="123" spans="3:7">
      <c r="D123"/>
    </row>
    <row r="124" spans="3:7">
      <c r="D124"/>
    </row>
    <row r="125" spans="3:7">
      <c r="D125"/>
    </row>
    <row r="126" spans="3:7">
      <c r="D126"/>
    </row>
    <row r="127" spans="3:7">
      <c r="D127"/>
    </row>
    <row r="128" spans="3:7">
      <c r="D128"/>
    </row>
  </sheetData>
  <autoFilter ref="A1:G91" xr:uid="{6AA8ADD4-30F6-F545-BD96-AFAF9C533433}"/>
  <sortState xmlns:xlrd2="http://schemas.microsoft.com/office/spreadsheetml/2017/richdata2" ref="B2:G91">
    <sortCondition ref="F2:F9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2F4E-7D3A-4646-93F8-9FE00342A059}">
  <sheetPr>
    <tabColor theme="0"/>
  </sheetPr>
  <dimension ref="A2:K481"/>
  <sheetViews>
    <sheetView topLeftCell="A455" zoomScale="108" zoomScaleNormal="275" workbookViewId="0">
      <selection activeCell="A458" sqref="A458:XFD481"/>
    </sheetView>
  </sheetViews>
  <sheetFormatPr baseColWidth="10" defaultColWidth="10.6640625" defaultRowHeight="16"/>
  <cols>
    <col min="1" max="1" width="10" customWidth="1"/>
    <col min="2" max="2" width="20.6640625" customWidth="1"/>
    <col min="3" max="3" width="13.1640625" customWidth="1"/>
    <col min="4" max="4" width="18.5" customWidth="1"/>
    <col min="5" max="5" width="16.6640625" customWidth="1"/>
    <col min="6" max="6" width="18" customWidth="1"/>
    <col min="7" max="7" width="16" customWidth="1"/>
    <col min="8" max="8" width="15.5" customWidth="1"/>
    <col min="12" max="12" width="13.5" customWidth="1"/>
    <col min="14" max="14" width="19.5" customWidth="1"/>
  </cols>
  <sheetData>
    <row r="2" spans="1:8">
      <c r="A2" t="s">
        <v>58</v>
      </c>
      <c r="H2" t="s">
        <v>57</v>
      </c>
    </row>
    <row r="21" spans="1:7">
      <c r="A21" s="1" t="s">
        <v>0</v>
      </c>
      <c r="B21" s="8" t="s">
        <v>1</v>
      </c>
      <c r="C21" s="7" t="s">
        <v>2</v>
      </c>
      <c r="D21" s="7" t="s">
        <v>3</v>
      </c>
      <c r="E21" s="9" t="s">
        <v>4</v>
      </c>
      <c r="F21" s="2" t="s">
        <v>5</v>
      </c>
      <c r="G21" s="2" t="s">
        <v>6</v>
      </c>
    </row>
    <row r="22" spans="1:7">
      <c r="A22" s="4">
        <v>7</v>
      </c>
      <c r="B22" s="4" t="s">
        <v>7</v>
      </c>
      <c r="C22" s="4" t="s">
        <v>15</v>
      </c>
      <c r="D22" s="4" t="s">
        <v>12</v>
      </c>
      <c r="E22" s="4" t="s">
        <v>16</v>
      </c>
      <c r="F22" s="4">
        <v>52</v>
      </c>
      <c r="G22" s="5">
        <v>274.09199999999998</v>
      </c>
    </row>
    <row r="23" spans="1:7">
      <c r="A23" s="4">
        <v>8</v>
      </c>
      <c r="B23" s="4" t="s">
        <v>7</v>
      </c>
      <c r="C23" s="4" t="s">
        <v>15</v>
      </c>
      <c r="D23" s="4" t="s">
        <v>12</v>
      </c>
      <c r="E23" s="4" t="s">
        <v>16</v>
      </c>
      <c r="F23" s="4">
        <v>61</v>
      </c>
      <c r="G23" s="5">
        <v>336.84199999999998</v>
      </c>
    </row>
    <row r="24" spans="1:7">
      <c r="A24" s="4">
        <v>10</v>
      </c>
      <c r="B24" s="4" t="s">
        <v>7</v>
      </c>
      <c r="C24" s="4" t="s">
        <v>15</v>
      </c>
      <c r="D24" s="4" t="s">
        <v>12</v>
      </c>
      <c r="E24" s="4" t="s">
        <v>16</v>
      </c>
      <c r="F24" s="4">
        <v>68</v>
      </c>
      <c r="G24" s="5">
        <v>512.04</v>
      </c>
    </row>
    <row r="25" spans="1:7">
      <c r="A25" s="4">
        <v>12</v>
      </c>
      <c r="B25" s="4" t="s">
        <v>7</v>
      </c>
      <c r="C25" s="4" t="s">
        <v>15</v>
      </c>
      <c r="D25" s="4" t="s">
        <v>12</v>
      </c>
      <c r="E25" s="4" t="s">
        <v>16</v>
      </c>
      <c r="F25" s="4">
        <v>70</v>
      </c>
      <c r="G25" s="5">
        <v>379.512</v>
      </c>
    </row>
    <row r="26" spans="1:7">
      <c r="A26" s="4">
        <v>13</v>
      </c>
      <c r="B26" s="4" t="s">
        <v>7</v>
      </c>
      <c r="C26" s="4" t="s">
        <v>15</v>
      </c>
      <c r="D26" s="4" t="s">
        <v>12</v>
      </c>
      <c r="E26" s="4" t="s">
        <v>16</v>
      </c>
      <c r="F26" s="4">
        <v>72</v>
      </c>
      <c r="G26" s="5">
        <v>397.58399999999995</v>
      </c>
    </row>
    <row r="27" spans="1:7">
      <c r="A27" s="4">
        <v>14</v>
      </c>
      <c r="B27" s="4" t="s">
        <v>7</v>
      </c>
      <c r="C27" s="4" t="s">
        <v>15</v>
      </c>
      <c r="D27" s="4" t="s">
        <v>12</v>
      </c>
      <c r="E27" s="4" t="s">
        <v>16</v>
      </c>
      <c r="F27" s="4">
        <v>73</v>
      </c>
      <c r="G27" s="5">
        <v>659.62799999999993</v>
      </c>
    </row>
    <row r="28" spans="1:7">
      <c r="A28" s="4">
        <v>15</v>
      </c>
      <c r="B28" s="4" t="s">
        <v>7</v>
      </c>
      <c r="C28" s="4" t="s">
        <v>15</v>
      </c>
      <c r="D28" s="4" t="s">
        <v>12</v>
      </c>
      <c r="E28" s="4" t="s">
        <v>16</v>
      </c>
      <c r="F28" s="4">
        <v>74</v>
      </c>
      <c r="G28" s="5">
        <v>482.92399999999998</v>
      </c>
    </row>
    <row r="29" spans="1:7">
      <c r="A29" s="4">
        <v>19</v>
      </c>
      <c r="B29" s="4" t="s">
        <v>7</v>
      </c>
      <c r="C29" s="4" t="s">
        <v>15</v>
      </c>
      <c r="D29" s="4" t="s">
        <v>12</v>
      </c>
      <c r="E29" s="4" t="s">
        <v>16</v>
      </c>
      <c r="F29" s="4">
        <v>79</v>
      </c>
      <c r="G29" s="5">
        <v>475.89599999999996</v>
      </c>
    </row>
    <row r="30" spans="1:7">
      <c r="A30" s="4">
        <v>23</v>
      </c>
      <c r="B30" s="4" t="s">
        <v>7</v>
      </c>
      <c r="C30" s="4" t="s">
        <v>15</v>
      </c>
      <c r="D30" s="4" t="s">
        <v>12</v>
      </c>
      <c r="E30" s="4" t="s">
        <v>16</v>
      </c>
      <c r="F30" s="4">
        <v>81</v>
      </c>
      <c r="G30" s="5">
        <v>691.25399999999991</v>
      </c>
    </row>
    <row r="31" spans="1:7">
      <c r="A31" s="4">
        <v>24</v>
      </c>
      <c r="B31" s="4" t="s">
        <v>7</v>
      </c>
      <c r="C31" s="4" t="s">
        <v>15</v>
      </c>
      <c r="D31" s="4" t="s">
        <v>12</v>
      </c>
      <c r="E31" s="4" t="s">
        <v>16</v>
      </c>
      <c r="F31" s="4">
        <v>83</v>
      </c>
      <c r="G31" s="5">
        <v>466.6592</v>
      </c>
    </row>
    <row r="32" spans="1:7">
      <c r="A32" s="4">
        <v>26</v>
      </c>
      <c r="B32" s="4" t="s">
        <v>7</v>
      </c>
      <c r="C32" s="4" t="s">
        <v>15</v>
      </c>
      <c r="D32" s="4" t="s">
        <v>12</v>
      </c>
      <c r="E32" s="4" t="s">
        <v>16</v>
      </c>
      <c r="F32" s="4">
        <v>84</v>
      </c>
      <c r="G32" s="5">
        <v>421.67999999999995</v>
      </c>
    </row>
    <row r="33" spans="1:7">
      <c r="A33" s="4">
        <v>27</v>
      </c>
      <c r="B33" s="4" t="s">
        <v>7</v>
      </c>
      <c r="C33" s="4" t="s">
        <v>15</v>
      </c>
      <c r="D33" s="4" t="s">
        <v>12</v>
      </c>
      <c r="E33" s="4" t="s">
        <v>16</v>
      </c>
      <c r="F33" s="4">
        <v>85</v>
      </c>
      <c r="G33" s="5">
        <v>725.39</v>
      </c>
    </row>
    <row r="34" spans="1:7">
      <c r="A34" s="4">
        <v>30</v>
      </c>
      <c r="B34" s="4" t="s">
        <v>7</v>
      </c>
      <c r="C34" s="4" t="s">
        <v>15</v>
      </c>
      <c r="D34" s="4" t="s">
        <v>12</v>
      </c>
      <c r="E34" s="4" t="s">
        <v>16</v>
      </c>
      <c r="F34" s="4">
        <v>90</v>
      </c>
      <c r="G34" s="5">
        <v>406.61999999999995</v>
      </c>
    </row>
    <row r="35" spans="1:7">
      <c r="A35" s="4">
        <v>32</v>
      </c>
      <c r="B35" s="4" t="s">
        <v>7</v>
      </c>
      <c r="C35" s="4" t="s">
        <v>15</v>
      </c>
      <c r="D35" s="4" t="s">
        <v>12</v>
      </c>
      <c r="E35" s="4" t="s">
        <v>16</v>
      </c>
      <c r="F35" s="4">
        <v>92</v>
      </c>
      <c r="G35" s="5">
        <v>831.31200000000001</v>
      </c>
    </row>
    <row r="36" spans="1:7">
      <c r="A36" s="4">
        <v>33</v>
      </c>
      <c r="B36" s="4" t="s">
        <v>7</v>
      </c>
      <c r="C36" s="4" t="s">
        <v>15</v>
      </c>
      <c r="D36" s="4" t="s">
        <v>12</v>
      </c>
      <c r="E36" s="4" t="s">
        <v>16</v>
      </c>
      <c r="F36" s="4">
        <v>100</v>
      </c>
      <c r="G36" s="5">
        <v>702.79999999999984</v>
      </c>
    </row>
    <row r="37" spans="1:7">
      <c r="A37" s="22">
        <v>35</v>
      </c>
      <c r="B37" s="4" t="s">
        <v>7</v>
      </c>
      <c r="C37" s="4" t="s">
        <v>15</v>
      </c>
      <c r="D37" s="4" t="s">
        <v>12</v>
      </c>
      <c r="E37" s="4" t="s">
        <v>16</v>
      </c>
      <c r="F37" s="4">
        <v>102</v>
      </c>
      <c r="G37" s="5">
        <v>921.67199999999991</v>
      </c>
    </row>
    <row r="38" spans="1:7">
      <c r="A38" s="22">
        <v>36</v>
      </c>
      <c r="B38" s="4" t="s">
        <v>7</v>
      </c>
      <c r="C38" s="4" t="s">
        <v>15</v>
      </c>
      <c r="D38" s="4" t="s">
        <v>12</v>
      </c>
      <c r="E38" s="4" t="s">
        <v>16</v>
      </c>
      <c r="F38" s="4">
        <v>105</v>
      </c>
      <c r="G38" s="5">
        <v>2196.2953367875648</v>
      </c>
    </row>
    <row r="39" spans="1:7">
      <c r="A39" s="22">
        <v>37</v>
      </c>
      <c r="B39" s="4" t="s">
        <v>7</v>
      </c>
      <c r="C39" s="4" t="s">
        <v>15</v>
      </c>
      <c r="D39" s="4" t="s">
        <v>12</v>
      </c>
      <c r="E39" s="4" t="s">
        <v>16</v>
      </c>
      <c r="F39" s="4">
        <v>108</v>
      </c>
      <c r="G39" s="5">
        <v>650.59199999999998</v>
      </c>
    </row>
    <row r="40" spans="1:7">
      <c r="A40" s="22">
        <v>40</v>
      </c>
      <c r="B40" s="4" t="s">
        <v>7</v>
      </c>
      <c r="C40" s="4" t="s">
        <v>15</v>
      </c>
      <c r="D40" s="4" t="s">
        <v>12</v>
      </c>
      <c r="E40" s="4" t="s">
        <v>16</v>
      </c>
      <c r="F40" s="4">
        <v>114</v>
      </c>
      <c r="G40" s="5">
        <v>502</v>
      </c>
    </row>
    <row r="41" spans="1:7">
      <c r="A41" s="22">
        <v>43</v>
      </c>
      <c r="B41" s="4" t="s">
        <v>7</v>
      </c>
      <c r="C41" s="4" t="s">
        <v>15</v>
      </c>
      <c r="D41" s="4" t="s">
        <v>12</v>
      </c>
      <c r="E41" s="4" t="s">
        <v>16</v>
      </c>
      <c r="F41" s="4">
        <v>115</v>
      </c>
      <c r="G41" s="5">
        <v>692.75999999999988</v>
      </c>
    </row>
    <row r="42" spans="1:7">
      <c r="A42" s="22">
        <v>45</v>
      </c>
      <c r="B42" s="4" t="s">
        <v>7</v>
      </c>
      <c r="C42" s="4" t="s">
        <v>15</v>
      </c>
      <c r="D42" s="4" t="s">
        <v>12</v>
      </c>
      <c r="E42" s="4" t="s">
        <v>16</v>
      </c>
      <c r="F42" s="4">
        <v>117</v>
      </c>
      <c r="G42" s="5">
        <v>728.30159999999989</v>
      </c>
    </row>
    <row r="43" spans="1:7">
      <c r="A43" s="22">
        <v>46</v>
      </c>
      <c r="B43" s="4" t="s">
        <v>7</v>
      </c>
      <c r="C43" s="4" t="s">
        <v>15</v>
      </c>
      <c r="D43" s="4" t="s">
        <v>12</v>
      </c>
      <c r="E43" s="4" t="s">
        <v>16</v>
      </c>
      <c r="F43" s="4">
        <v>117</v>
      </c>
      <c r="G43" s="5">
        <v>998.47799999999984</v>
      </c>
    </row>
    <row r="44" spans="1:7">
      <c r="A44" s="22">
        <v>47</v>
      </c>
      <c r="B44" s="4" t="s">
        <v>7</v>
      </c>
      <c r="C44" s="4" t="s">
        <v>15</v>
      </c>
      <c r="D44" s="4" t="s">
        <v>12</v>
      </c>
      <c r="E44" s="4" t="s">
        <v>16</v>
      </c>
      <c r="F44" s="4">
        <v>118</v>
      </c>
      <c r="G44" s="5">
        <v>1795.0673575129535</v>
      </c>
    </row>
    <row r="45" spans="1:7">
      <c r="A45" s="22">
        <v>49</v>
      </c>
      <c r="B45" s="4" t="s">
        <v>7</v>
      </c>
      <c r="C45" s="4" t="s">
        <v>15</v>
      </c>
      <c r="D45" s="4" t="s">
        <v>12</v>
      </c>
      <c r="E45" s="4" t="s">
        <v>16</v>
      </c>
      <c r="F45" s="4">
        <v>125</v>
      </c>
      <c r="G45" s="5">
        <v>1004</v>
      </c>
    </row>
    <row r="46" spans="1:7">
      <c r="A46" s="22">
        <v>51</v>
      </c>
      <c r="B46" s="4" t="s">
        <v>7</v>
      </c>
      <c r="C46" s="4" t="s">
        <v>15</v>
      </c>
      <c r="D46" s="4" t="s">
        <v>12</v>
      </c>
      <c r="E46" s="4" t="s">
        <v>16</v>
      </c>
      <c r="F46" s="4">
        <v>127</v>
      </c>
      <c r="G46" s="5">
        <v>1020.064</v>
      </c>
    </row>
    <row r="47" spans="1:7">
      <c r="A47" s="22">
        <v>52</v>
      </c>
      <c r="B47" s="4" t="s">
        <v>7</v>
      </c>
      <c r="C47" s="4" t="s">
        <v>15</v>
      </c>
      <c r="D47" s="4" t="s">
        <v>12</v>
      </c>
      <c r="E47" s="4" t="s">
        <v>16</v>
      </c>
      <c r="F47" s="6">
        <v>135</v>
      </c>
      <c r="G47" s="6">
        <v>1053</v>
      </c>
    </row>
    <row r="48" spans="1:7">
      <c r="A48" s="22">
        <v>54</v>
      </c>
      <c r="B48" s="4" t="s">
        <v>7</v>
      </c>
      <c r="C48" s="4" t="s">
        <v>15</v>
      </c>
      <c r="D48" s="4" t="s">
        <v>12</v>
      </c>
      <c r="E48" s="4" t="s">
        <v>16</v>
      </c>
      <c r="F48" s="4">
        <v>136</v>
      </c>
      <c r="G48" s="5">
        <v>1024.08</v>
      </c>
    </row>
    <row r="49" spans="1:9">
      <c r="A49" s="22">
        <v>55</v>
      </c>
      <c r="B49" s="4" t="s">
        <v>7</v>
      </c>
      <c r="C49" s="4" t="s">
        <v>15</v>
      </c>
      <c r="D49" s="4" t="s">
        <v>12</v>
      </c>
      <c r="E49" s="4" t="s">
        <v>16</v>
      </c>
      <c r="F49" s="4">
        <v>143</v>
      </c>
      <c r="G49" s="5">
        <v>861.4319999999999</v>
      </c>
    </row>
    <row r="50" spans="1:9">
      <c r="A50" s="22">
        <v>59</v>
      </c>
      <c r="B50" s="4" t="s">
        <v>7</v>
      </c>
      <c r="C50" s="4" t="s">
        <v>15</v>
      </c>
      <c r="D50" s="4" t="s">
        <v>12</v>
      </c>
      <c r="E50" s="4" t="s">
        <v>16</v>
      </c>
      <c r="F50" s="4">
        <v>153</v>
      </c>
      <c r="G50" s="5">
        <v>1228.896</v>
      </c>
    </row>
    <row r="51" spans="1:9">
      <c r="A51" s="22">
        <v>60</v>
      </c>
      <c r="B51" s="4" t="s">
        <v>7</v>
      </c>
      <c r="C51" s="4" t="s">
        <v>15</v>
      </c>
      <c r="D51" s="4" t="s">
        <v>12</v>
      </c>
      <c r="E51" s="4" t="s">
        <v>16</v>
      </c>
      <c r="F51" s="6">
        <v>156</v>
      </c>
      <c r="G51" s="6">
        <v>1025</v>
      </c>
    </row>
    <row r="52" spans="1:9">
      <c r="A52" s="22">
        <v>63</v>
      </c>
      <c r="B52" s="4" t="s">
        <v>7</v>
      </c>
      <c r="C52" s="4" t="s">
        <v>15</v>
      </c>
      <c r="D52" s="4" t="s">
        <v>12</v>
      </c>
      <c r="E52" s="4" t="s">
        <v>16</v>
      </c>
      <c r="F52" s="4">
        <v>162</v>
      </c>
      <c r="G52" s="5">
        <v>1305</v>
      </c>
    </row>
    <row r="53" spans="1:9">
      <c r="A53" s="22">
        <v>64</v>
      </c>
      <c r="B53" s="4" t="s">
        <v>7</v>
      </c>
      <c r="C53" s="4" t="s">
        <v>15</v>
      </c>
      <c r="D53" s="4" t="s">
        <v>12</v>
      </c>
      <c r="E53" s="4" t="s">
        <v>16</v>
      </c>
      <c r="F53" s="4">
        <v>162</v>
      </c>
      <c r="G53" s="5">
        <v>1903.7602072538862</v>
      </c>
    </row>
    <row r="54" spans="1:9">
      <c r="A54" s="22">
        <v>71</v>
      </c>
      <c r="B54" s="4" t="s">
        <v>7</v>
      </c>
      <c r="C54" s="4" t="s">
        <v>15</v>
      </c>
      <c r="D54" s="6" t="s">
        <v>14</v>
      </c>
      <c r="E54" s="4" t="s">
        <v>16</v>
      </c>
      <c r="F54" s="6">
        <v>183</v>
      </c>
      <c r="G54" s="6">
        <v>460</v>
      </c>
    </row>
    <row r="55" spans="1:9">
      <c r="A55" s="22">
        <v>73</v>
      </c>
      <c r="B55" s="4" t="s">
        <v>7</v>
      </c>
      <c r="C55" s="4" t="s">
        <v>15</v>
      </c>
      <c r="D55" s="4" t="s">
        <v>12</v>
      </c>
      <c r="E55" s="4" t="s">
        <v>16</v>
      </c>
      <c r="F55" s="4">
        <v>193</v>
      </c>
      <c r="G55" s="5">
        <v>734</v>
      </c>
    </row>
    <row r="56" spans="1:9">
      <c r="A56" s="22">
        <v>75</v>
      </c>
      <c r="B56" s="4" t="s">
        <v>7</v>
      </c>
      <c r="C56" s="4" t="s">
        <v>15</v>
      </c>
      <c r="D56" s="4" t="s">
        <v>12</v>
      </c>
      <c r="E56" s="4" t="s">
        <v>16</v>
      </c>
      <c r="F56" s="4">
        <v>209</v>
      </c>
      <c r="G56" s="5">
        <v>1993.4419999999996</v>
      </c>
    </row>
    <row r="57" spans="1:9">
      <c r="A57" s="22">
        <v>80</v>
      </c>
      <c r="B57" s="4" t="s">
        <v>7</v>
      </c>
      <c r="C57" s="4" t="s">
        <v>15</v>
      </c>
      <c r="D57" s="4" t="s">
        <v>12</v>
      </c>
      <c r="E57" s="4" t="s">
        <v>16</v>
      </c>
      <c r="F57" s="4">
        <v>310</v>
      </c>
      <c r="G57" s="5">
        <v>933.7199999999998</v>
      </c>
    </row>
    <row r="58" spans="1:9">
      <c r="A58" s="22">
        <v>90</v>
      </c>
      <c r="B58" s="4" t="s">
        <v>7</v>
      </c>
      <c r="C58" s="4" t="s">
        <v>15</v>
      </c>
      <c r="D58" s="6" t="s">
        <v>14</v>
      </c>
      <c r="E58" s="4" t="s">
        <v>16</v>
      </c>
      <c r="F58" s="6">
        <v>849</v>
      </c>
      <c r="G58" s="6">
        <v>1874</v>
      </c>
    </row>
    <row r="60" spans="1:9">
      <c r="A60" t="s">
        <v>18</v>
      </c>
    </row>
    <row r="61" spans="1:9" ht="20">
      <c r="A61" s="13" t="s">
        <v>19</v>
      </c>
    </row>
    <row r="62" spans="1:9" ht="17">
      <c r="A62" s="14" t="s">
        <v>20</v>
      </c>
      <c r="B62" s="14" t="s">
        <v>21</v>
      </c>
      <c r="C62" s="14" t="s">
        <v>22</v>
      </c>
      <c r="D62" s="14" t="s">
        <v>23</v>
      </c>
      <c r="E62" s="14" t="s">
        <v>24</v>
      </c>
      <c r="F62" s="14" t="s">
        <v>25</v>
      </c>
      <c r="G62" s="14" t="s">
        <v>26</v>
      </c>
      <c r="I62" s="14"/>
    </row>
    <row r="63" spans="1:9" ht="17">
      <c r="A63" s="14" t="s">
        <v>5</v>
      </c>
      <c r="B63" s="14">
        <v>37</v>
      </c>
      <c r="C63" s="14">
        <v>137.91999999999999</v>
      </c>
      <c r="D63" s="14">
        <v>130.15</v>
      </c>
      <c r="E63" s="14">
        <v>52</v>
      </c>
      <c r="F63" s="14">
        <v>114</v>
      </c>
      <c r="G63" s="14">
        <v>849</v>
      </c>
      <c r="I63" s="14"/>
    </row>
    <row r="65" spans="1:9" ht="20">
      <c r="A65" s="13" t="s">
        <v>19</v>
      </c>
    </row>
    <row r="66" spans="1:9" ht="17">
      <c r="A66" s="14" t="s">
        <v>20</v>
      </c>
      <c r="B66" s="14" t="s">
        <v>21</v>
      </c>
      <c r="C66" s="14" t="s">
        <v>22</v>
      </c>
      <c r="D66" s="14" t="s">
        <v>23</v>
      </c>
      <c r="E66" s="14" t="s">
        <v>24</v>
      </c>
      <c r="F66" s="14" t="s">
        <v>25</v>
      </c>
      <c r="G66" s="14" t="s">
        <v>26</v>
      </c>
      <c r="I66" s="14"/>
    </row>
    <row r="67" spans="1:9" ht="17">
      <c r="A67" s="14" t="s">
        <v>27</v>
      </c>
      <c r="B67" s="14">
        <v>37</v>
      </c>
      <c r="C67" s="14">
        <v>883</v>
      </c>
      <c r="D67" s="14">
        <v>501.94</v>
      </c>
      <c r="E67" s="14">
        <v>274</v>
      </c>
      <c r="F67" s="14">
        <v>728</v>
      </c>
      <c r="G67" s="14">
        <v>2196</v>
      </c>
      <c r="I67" s="14"/>
    </row>
    <row r="70" spans="1:9">
      <c r="A70" t="s">
        <v>28</v>
      </c>
    </row>
    <row r="71" spans="1:9" ht="20">
      <c r="A71" s="13" t="s">
        <v>29</v>
      </c>
    </row>
    <row r="72" spans="1:9" ht="17">
      <c r="A72" s="14" t="s">
        <v>30</v>
      </c>
      <c r="B72" s="14" t="s">
        <v>6</v>
      </c>
      <c r="C72" s="14"/>
      <c r="D72" s="14"/>
      <c r="E72" s="14"/>
      <c r="F72" s="14"/>
      <c r="G72" s="14"/>
    </row>
    <row r="73" spans="1:9" ht="17">
      <c r="A73" s="14">
        <v>17</v>
      </c>
      <c r="B73" s="14">
        <v>2196</v>
      </c>
      <c r="C73" s="14"/>
      <c r="D73" s="14"/>
      <c r="E73" s="14"/>
      <c r="F73" s="14"/>
      <c r="G73" s="14"/>
    </row>
    <row r="74" spans="1:9" ht="17">
      <c r="A74" s="14">
        <v>23</v>
      </c>
      <c r="B74" s="14">
        <v>1795</v>
      </c>
      <c r="C74" s="14"/>
      <c r="D74" s="14"/>
      <c r="E74" s="14"/>
      <c r="F74" s="14"/>
      <c r="G74" s="14"/>
    </row>
    <row r="75" spans="1:9" ht="17">
      <c r="A75" s="14">
        <v>32</v>
      </c>
      <c r="B75" s="14">
        <v>1904</v>
      </c>
      <c r="C75" s="14"/>
      <c r="D75" s="14"/>
      <c r="E75" s="14"/>
      <c r="F75" s="14"/>
      <c r="G75" s="14"/>
    </row>
    <row r="76" spans="1:9" ht="17">
      <c r="A76" s="14">
        <v>35</v>
      </c>
      <c r="B76" s="14">
        <v>1993</v>
      </c>
      <c r="C76" s="14"/>
      <c r="D76" s="14"/>
      <c r="E76" s="14"/>
      <c r="F76" s="14"/>
      <c r="G76" s="14"/>
    </row>
    <row r="77" spans="1:9" ht="17">
      <c r="A77" s="14">
        <v>37</v>
      </c>
      <c r="B77" s="14">
        <v>1874</v>
      </c>
      <c r="C77" s="14"/>
      <c r="D77" s="14"/>
      <c r="E77" s="14"/>
      <c r="F77" s="14"/>
      <c r="G77" s="14"/>
    </row>
    <row r="79" spans="1:9">
      <c r="A79" s="1" t="s">
        <v>0</v>
      </c>
      <c r="B79" s="8" t="s">
        <v>1</v>
      </c>
      <c r="C79" s="7" t="s">
        <v>2</v>
      </c>
      <c r="D79" s="7" t="s">
        <v>3</v>
      </c>
      <c r="E79" s="9" t="s">
        <v>4</v>
      </c>
      <c r="F79" s="2" t="s">
        <v>5</v>
      </c>
      <c r="G79" s="2" t="s">
        <v>6</v>
      </c>
    </row>
    <row r="80" spans="1:9">
      <c r="A80" s="4">
        <v>7</v>
      </c>
      <c r="B80" s="4" t="s">
        <v>7</v>
      </c>
      <c r="C80" s="4" t="s">
        <v>15</v>
      </c>
      <c r="D80" s="4" t="s">
        <v>12</v>
      </c>
      <c r="E80" s="4" t="s">
        <v>16</v>
      </c>
      <c r="F80" s="4">
        <v>52</v>
      </c>
      <c r="G80" s="5">
        <v>274.09199999999998</v>
      </c>
    </row>
    <row r="81" spans="1:8">
      <c r="A81" s="4">
        <v>8</v>
      </c>
      <c r="B81" s="4" t="s">
        <v>7</v>
      </c>
      <c r="C81" s="4" t="s">
        <v>15</v>
      </c>
      <c r="D81" s="4" t="s">
        <v>12</v>
      </c>
      <c r="E81" s="4" t="s">
        <v>16</v>
      </c>
      <c r="F81" s="4">
        <v>61</v>
      </c>
      <c r="G81" s="5">
        <v>336.84199999999998</v>
      </c>
    </row>
    <row r="82" spans="1:8">
      <c r="A82" s="4">
        <v>10</v>
      </c>
      <c r="B82" s="4" t="s">
        <v>7</v>
      </c>
      <c r="C82" s="4" t="s">
        <v>15</v>
      </c>
      <c r="D82" s="4" t="s">
        <v>12</v>
      </c>
      <c r="E82" s="4" t="s">
        <v>16</v>
      </c>
      <c r="F82" s="4">
        <v>68</v>
      </c>
      <c r="G82" s="5">
        <v>512.04</v>
      </c>
    </row>
    <row r="83" spans="1:8">
      <c r="A83" s="4">
        <v>12</v>
      </c>
      <c r="B83" s="4" t="s">
        <v>7</v>
      </c>
      <c r="C83" s="4" t="s">
        <v>15</v>
      </c>
      <c r="D83" s="4" t="s">
        <v>12</v>
      </c>
      <c r="E83" s="4" t="s">
        <v>16</v>
      </c>
      <c r="F83" s="4">
        <v>70</v>
      </c>
      <c r="G83" s="5">
        <v>379.512</v>
      </c>
    </row>
    <row r="84" spans="1:8">
      <c r="A84" s="4">
        <v>13</v>
      </c>
      <c r="B84" s="4" t="s">
        <v>7</v>
      </c>
      <c r="C84" s="4" t="s">
        <v>15</v>
      </c>
      <c r="D84" s="4" t="s">
        <v>12</v>
      </c>
      <c r="E84" s="4" t="s">
        <v>16</v>
      </c>
      <c r="F84" s="4">
        <v>72</v>
      </c>
      <c r="G84" s="5">
        <v>397.58399999999995</v>
      </c>
    </row>
    <row r="85" spans="1:8">
      <c r="A85" s="4">
        <v>14</v>
      </c>
      <c r="B85" s="4" t="s">
        <v>7</v>
      </c>
      <c r="C85" s="4" t="s">
        <v>15</v>
      </c>
      <c r="D85" s="4" t="s">
        <v>12</v>
      </c>
      <c r="E85" s="4" t="s">
        <v>16</v>
      </c>
      <c r="F85" s="4">
        <v>73</v>
      </c>
      <c r="G85" s="5">
        <v>659.62799999999993</v>
      </c>
    </row>
    <row r="86" spans="1:8">
      <c r="A86" s="4">
        <v>15</v>
      </c>
      <c r="B86" s="4" t="s">
        <v>7</v>
      </c>
      <c r="C86" s="4" t="s">
        <v>15</v>
      </c>
      <c r="D86" s="4" t="s">
        <v>12</v>
      </c>
      <c r="E86" s="4" t="s">
        <v>16</v>
      </c>
      <c r="F86" s="4">
        <v>74</v>
      </c>
      <c r="G86" s="5">
        <v>482.92399999999998</v>
      </c>
    </row>
    <row r="87" spans="1:8">
      <c r="A87" s="4">
        <v>19</v>
      </c>
      <c r="B87" s="4" t="s">
        <v>7</v>
      </c>
      <c r="C87" s="4" t="s">
        <v>15</v>
      </c>
      <c r="D87" s="4" t="s">
        <v>12</v>
      </c>
      <c r="E87" s="4" t="s">
        <v>16</v>
      </c>
      <c r="F87" s="4">
        <v>79</v>
      </c>
      <c r="G87" s="5">
        <v>475.89599999999996</v>
      </c>
    </row>
    <row r="88" spans="1:8">
      <c r="A88" s="4">
        <v>23</v>
      </c>
      <c r="B88" s="4" t="s">
        <v>7</v>
      </c>
      <c r="C88" s="4" t="s">
        <v>15</v>
      </c>
      <c r="D88" s="4" t="s">
        <v>12</v>
      </c>
      <c r="E88" s="4" t="s">
        <v>16</v>
      </c>
      <c r="F88" s="4">
        <v>81</v>
      </c>
      <c r="G88" s="5">
        <v>691.25399999999991</v>
      </c>
    </row>
    <row r="89" spans="1:8">
      <c r="A89" s="4">
        <v>24</v>
      </c>
      <c r="B89" s="4" t="s">
        <v>7</v>
      </c>
      <c r="C89" s="4" t="s">
        <v>15</v>
      </c>
      <c r="D89" s="4" t="s">
        <v>12</v>
      </c>
      <c r="E89" s="4" t="s">
        <v>16</v>
      </c>
      <c r="F89" s="4">
        <v>83</v>
      </c>
      <c r="G89" s="5">
        <v>466.6592</v>
      </c>
    </row>
    <row r="90" spans="1:8">
      <c r="A90" s="4">
        <v>26</v>
      </c>
      <c r="B90" s="4" t="s">
        <v>7</v>
      </c>
      <c r="C90" s="4" t="s">
        <v>15</v>
      </c>
      <c r="D90" s="4" t="s">
        <v>12</v>
      </c>
      <c r="E90" s="4" t="s">
        <v>16</v>
      </c>
      <c r="F90" s="4">
        <v>84</v>
      </c>
      <c r="G90" s="5">
        <v>421.67999999999995</v>
      </c>
    </row>
    <row r="91" spans="1:8">
      <c r="A91" s="4">
        <v>27</v>
      </c>
      <c r="B91" s="4" t="s">
        <v>7</v>
      </c>
      <c r="C91" s="4" t="s">
        <v>15</v>
      </c>
      <c r="D91" s="4" t="s">
        <v>12</v>
      </c>
      <c r="E91" s="4" t="s">
        <v>16</v>
      </c>
      <c r="F91" s="4">
        <v>85</v>
      </c>
      <c r="G91" s="5">
        <v>725.39</v>
      </c>
    </row>
    <row r="92" spans="1:8">
      <c r="A92" s="4">
        <v>30</v>
      </c>
      <c r="B92" s="4" t="s">
        <v>7</v>
      </c>
      <c r="C92" s="4" t="s">
        <v>15</v>
      </c>
      <c r="D92" s="4" t="s">
        <v>12</v>
      </c>
      <c r="E92" s="4" t="s">
        <v>16</v>
      </c>
      <c r="F92" s="4">
        <v>90</v>
      </c>
      <c r="G92" s="5">
        <v>406.61999999999995</v>
      </c>
    </row>
    <row r="93" spans="1:8">
      <c r="A93" s="4">
        <v>32</v>
      </c>
      <c r="B93" s="4" t="s">
        <v>7</v>
      </c>
      <c r="C93" s="4" t="s">
        <v>15</v>
      </c>
      <c r="D93" s="4" t="s">
        <v>12</v>
      </c>
      <c r="E93" s="4" t="s">
        <v>16</v>
      </c>
      <c r="F93" s="4">
        <v>92</v>
      </c>
      <c r="G93" s="5">
        <v>831.31200000000001</v>
      </c>
    </row>
    <row r="94" spans="1:8">
      <c r="A94" s="4">
        <v>33</v>
      </c>
      <c r="B94" s="4" t="s">
        <v>7</v>
      </c>
      <c r="C94" s="4" t="s">
        <v>15</v>
      </c>
      <c r="D94" s="4" t="s">
        <v>12</v>
      </c>
      <c r="E94" s="4" t="s">
        <v>16</v>
      </c>
      <c r="F94" s="4">
        <v>100</v>
      </c>
      <c r="G94" s="5">
        <v>702.79999999999984</v>
      </c>
    </row>
    <row r="95" spans="1:8">
      <c r="A95" s="22">
        <v>35</v>
      </c>
      <c r="B95" s="4" t="s">
        <v>7</v>
      </c>
      <c r="C95" s="4" t="s">
        <v>15</v>
      </c>
      <c r="D95" s="4" t="s">
        <v>12</v>
      </c>
      <c r="E95" s="4" t="s">
        <v>16</v>
      </c>
      <c r="F95" s="4">
        <v>102</v>
      </c>
      <c r="G95" s="5">
        <v>921.67199999999991</v>
      </c>
    </row>
    <row r="96" spans="1:8">
      <c r="A96" s="22">
        <v>36</v>
      </c>
      <c r="B96" s="4" t="s">
        <v>7</v>
      </c>
      <c r="C96" s="4" t="s">
        <v>15</v>
      </c>
      <c r="D96" s="4" t="s">
        <v>12</v>
      </c>
      <c r="E96" s="4" t="s">
        <v>16</v>
      </c>
      <c r="F96" s="4">
        <v>105</v>
      </c>
      <c r="G96" s="5">
        <v>2196.2953367875648</v>
      </c>
      <c r="H96" s="12" t="s">
        <v>31</v>
      </c>
    </row>
    <row r="97" spans="1:8">
      <c r="A97" s="22">
        <v>37</v>
      </c>
      <c r="B97" s="4" t="s">
        <v>7</v>
      </c>
      <c r="C97" s="4" t="s">
        <v>15</v>
      </c>
      <c r="D97" s="4" t="s">
        <v>12</v>
      </c>
      <c r="E97" s="4" t="s">
        <v>16</v>
      </c>
      <c r="F97" s="4">
        <v>108</v>
      </c>
      <c r="G97" s="5">
        <v>650.59199999999998</v>
      </c>
    </row>
    <row r="98" spans="1:8">
      <c r="A98" s="22">
        <v>40</v>
      </c>
      <c r="B98" s="4" t="s">
        <v>7</v>
      </c>
      <c r="C98" s="4" t="s">
        <v>15</v>
      </c>
      <c r="D98" s="4" t="s">
        <v>12</v>
      </c>
      <c r="E98" s="4" t="s">
        <v>16</v>
      </c>
      <c r="F98" s="4">
        <v>114</v>
      </c>
      <c r="G98" s="5">
        <v>502</v>
      </c>
    </row>
    <row r="99" spans="1:8">
      <c r="A99" s="22">
        <v>43</v>
      </c>
      <c r="B99" s="4" t="s">
        <v>7</v>
      </c>
      <c r="C99" s="4" t="s">
        <v>15</v>
      </c>
      <c r="D99" s="4" t="s">
        <v>12</v>
      </c>
      <c r="E99" s="4" t="s">
        <v>16</v>
      </c>
      <c r="F99" s="4">
        <v>115</v>
      </c>
      <c r="G99" s="5">
        <v>692.75999999999988</v>
      </c>
    </row>
    <row r="100" spans="1:8">
      <c r="A100" s="22">
        <v>45</v>
      </c>
      <c r="B100" s="4" t="s">
        <v>7</v>
      </c>
      <c r="C100" s="4" t="s">
        <v>15</v>
      </c>
      <c r="D100" s="4" t="s">
        <v>12</v>
      </c>
      <c r="E100" s="4" t="s">
        <v>16</v>
      </c>
      <c r="F100" s="4">
        <v>117</v>
      </c>
      <c r="G100" s="5">
        <v>728.30159999999989</v>
      </c>
    </row>
    <row r="101" spans="1:8">
      <c r="A101" s="22">
        <v>46</v>
      </c>
      <c r="B101" s="4" t="s">
        <v>7</v>
      </c>
      <c r="C101" s="4" t="s">
        <v>15</v>
      </c>
      <c r="D101" s="4" t="s">
        <v>12</v>
      </c>
      <c r="E101" s="4" t="s">
        <v>16</v>
      </c>
      <c r="F101" s="4">
        <v>117</v>
      </c>
      <c r="G101" s="5">
        <v>998.47799999999984</v>
      </c>
    </row>
    <row r="102" spans="1:8">
      <c r="A102" s="22">
        <v>47</v>
      </c>
      <c r="B102" s="4" t="s">
        <v>7</v>
      </c>
      <c r="C102" s="4" t="s">
        <v>15</v>
      </c>
      <c r="D102" s="4" t="s">
        <v>12</v>
      </c>
      <c r="E102" s="4" t="s">
        <v>16</v>
      </c>
      <c r="F102" s="4">
        <v>118</v>
      </c>
      <c r="G102" s="5">
        <v>1795.0673575129535</v>
      </c>
      <c r="H102" s="12" t="s">
        <v>31</v>
      </c>
    </row>
    <row r="103" spans="1:8">
      <c r="A103" s="22">
        <v>49</v>
      </c>
      <c r="B103" s="4" t="s">
        <v>7</v>
      </c>
      <c r="C103" s="4" t="s">
        <v>15</v>
      </c>
      <c r="D103" s="4" t="s">
        <v>12</v>
      </c>
      <c r="E103" s="4" t="s">
        <v>16</v>
      </c>
      <c r="F103" s="4">
        <v>125</v>
      </c>
      <c r="G103" s="5">
        <v>1004</v>
      </c>
    </row>
    <row r="104" spans="1:8">
      <c r="A104" s="22">
        <v>51</v>
      </c>
      <c r="B104" s="4" t="s">
        <v>7</v>
      </c>
      <c r="C104" s="4" t="s">
        <v>15</v>
      </c>
      <c r="D104" s="4" t="s">
        <v>12</v>
      </c>
      <c r="E104" s="4" t="s">
        <v>16</v>
      </c>
      <c r="F104" s="4">
        <v>127</v>
      </c>
      <c r="G104" s="5">
        <v>1020.064</v>
      </c>
    </row>
    <row r="105" spans="1:8">
      <c r="A105" s="22">
        <v>52</v>
      </c>
      <c r="B105" s="4" t="s">
        <v>7</v>
      </c>
      <c r="C105" s="4" t="s">
        <v>15</v>
      </c>
      <c r="D105" s="4" t="s">
        <v>12</v>
      </c>
      <c r="E105" s="4" t="s">
        <v>16</v>
      </c>
      <c r="F105" s="6">
        <v>135</v>
      </c>
      <c r="G105" s="6">
        <v>1053</v>
      </c>
    </row>
    <row r="106" spans="1:8">
      <c r="A106" s="22">
        <v>54</v>
      </c>
      <c r="B106" s="4" t="s">
        <v>7</v>
      </c>
      <c r="C106" s="4" t="s">
        <v>15</v>
      </c>
      <c r="D106" s="4" t="s">
        <v>12</v>
      </c>
      <c r="E106" s="4" t="s">
        <v>16</v>
      </c>
      <c r="F106" s="4">
        <v>136</v>
      </c>
      <c r="G106" s="5">
        <v>1024.08</v>
      </c>
    </row>
    <row r="107" spans="1:8">
      <c r="A107" s="22">
        <v>55</v>
      </c>
      <c r="B107" s="4" t="s">
        <v>7</v>
      </c>
      <c r="C107" s="4" t="s">
        <v>15</v>
      </c>
      <c r="D107" s="4" t="s">
        <v>12</v>
      </c>
      <c r="E107" s="4" t="s">
        <v>16</v>
      </c>
      <c r="F107" s="4">
        <v>143</v>
      </c>
      <c r="G107" s="5">
        <v>861.4319999999999</v>
      </c>
    </row>
    <row r="108" spans="1:8">
      <c r="A108" s="22">
        <v>59</v>
      </c>
      <c r="B108" s="4" t="s">
        <v>7</v>
      </c>
      <c r="C108" s="4" t="s">
        <v>15</v>
      </c>
      <c r="D108" s="4" t="s">
        <v>12</v>
      </c>
      <c r="E108" s="4" t="s">
        <v>16</v>
      </c>
      <c r="F108" s="4">
        <v>153</v>
      </c>
      <c r="G108" s="5">
        <v>1228.896</v>
      </c>
    </row>
    <row r="109" spans="1:8">
      <c r="A109" s="22">
        <v>60</v>
      </c>
      <c r="B109" s="4" t="s">
        <v>7</v>
      </c>
      <c r="C109" s="4" t="s">
        <v>15</v>
      </c>
      <c r="D109" s="4" t="s">
        <v>12</v>
      </c>
      <c r="E109" s="4" t="s">
        <v>16</v>
      </c>
      <c r="F109" s="6">
        <v>156</v>
      </c>
      <c r="G109" s="6">
        <v>1025</v>
      </c>
    </row>
    <row r="110" spans="1:8">
      <c r="A110" s="22">
        <v>63</v>
      </c>
      <c r="B110" s="4" t="s">
        <v>7</v>
      </c>
      <c r="C110" s="4" t="s">
        <v>15</v>
      </c>
      <c r="D110" s="4" t="s">
        <v>12</v>
      </c>
      <c r="E110" s="4" t="s">
        <v>16</v>
      </c>
      <c r="F110" s="4">
        <v>162</v>
      </c>
      <c r="G110" s="5">
        <v>1305</v>
      </c>
    </row>
    <row r="111" spans="1:8">
      <c r="A111" s="22">
        <v>64</v>
      </c>
      <c r="B111" s="4" t="s">
        <v>7</v>
      </c>
      <c r="C111" s="4" t="s">
        <v>15</v>
      </c>
      <c r="D111" s="4" t="s">
        <v>12</v>
      </c>
      <c r="E111" s="4" t="s">
        <v>16</v>
      </c>
      <c r="F111" s="4">
        <v>162</v>
      </c>
      <c r="G111" s="5">
        <v>1903.7602072538862</v>
      </c>
      <c r="H111" s="12" t="s">
        <v>31</v>
      </c>
    </row>
    <row r="112" spans="1:8">
      <c r="A112" s="22">
        <v>71</v>
      </c>
      <c r="B112" s="4" t="s">
        <v>7</v>
      </c>
      <c r="C112" s="4" t="s">
        <v>15</v>
      </c>
      <c r="D112" s="6" t="s">
        <v>14</v>
      </c>
      <c r="E112" s="4" t="s">
        <v>16</v>
      </c>
      <c r="F112" s="6">
        <v>183</v>
      </c>
      <c r="G112" s="6">
        <v>460</v>
      </c>
    </row>
    <row r="113" spans="1:8">
      <c r="A113" s="22">
        <v>73</v>
      </c>
      <c r="B113" s="4" t="s">
        <v>7</v>
      </c>
      <c r="C113" s="4" t="s">
        <v>15</v>
      </c>
      <c r="D113" s="4" t="s">
        <v>12</v>
      </c>
      <c r="E113" s="4" t="s">
        <v>16</v>
      </c>
      <c r="F113" s="4">
        <v>193</v>
      </c>
      <c r="G113" s="5">
        <v>734</v>
      </c>
    </row>
    <row r="114" spans="1:8">
      <c r="A114" s="22">
        <v>75</v>
      </c>
      <c r="B114" s="4" t="s">
        <v>7</v>
      </c>
      <c r="C114" s="4" t="s">
        <v>15</v>
      </c>
      <c r="D114" s="4" t="s">
        <v>12</v>
      </c>
      <c r="E114" s="4" t="s">
        <v>16</v>
      </c>
      <c r="F114" s="4">
        <v>209</v>
      </c>
      <c r="G114" s="5">
        <v>1993.4419999999996</v>
      </c>
      <c r="H114" s="12" t="s">
        <v>31</v>
      </c>
    </row>
    <row r="115" spans="1:8">
      <c r="A115" s="22">
        <v>80</v>
      </c>
      <c r="B115" s="4" t="s">
        <v>7</v>
      </c>
      <c r="C115" s="4" t="s">
        <v>15</v>
      </c>
      <c r="D115" s="4" t="s">
        <v>12</v>
      </c>
      <c r="E115" s="4" t="s">
        <v>16</v>
      </c>
      <c r="F115" s="4">
        <v>310</v>
      </c>
      <c r="G115" s="5">
        <v>933.7199999999998</v>
      </c>
    </row>
    <row r="116" spans="1:8">
      <c r="A116" s="22">
        <v>90</v>
      </c>
      <c r="B116" s="4" t="s">
        <v>7</v>
      </c>
      <c r="C116" s="4" t="s">
        <v>15</v>
      </c>
      <c r="D116" s="6" t="s">
        <v>14</v>
      </c>
      <c r="E116" s="4" t="s">
        <v>16</v>
      </c>
      <c r="F116" s="6">
        <v>849</v>
      </c>
      <c r="G116" s="6">
        <v>1874</v>
      </c>
      <c r="H116" s="12" t="s">
        <v>31</v>
      </c>
    </row>
    <row r="118" spans="1:8">
      <c r="A118" s="1" t="s">
        <v>0</v>
      </c>
      <c r="B118" s="8" t="s">
        <v>1</v>
      </c>
      <c r="C118" s="7" t="s">
        <v>2</v>
      </c>
      <c r="D118" s="7" t="s">
        <v>3</v>
      </c>
      <c r="E118" s="9" t="s">
        <v>4</v>
      </c>
      <c r="F118" s="2" t="s">
        <v>5</v>
      </c>
      <c r="G118" s="2" t="s">
        <v>6</v>
      </c>
    </row>
    <row r="119" spans="1:8">
      <c r="A119" s="4">
        <v>7</v>
      </c>
      <c r="B119" s="4" t="s">
        <v>7</v>
      </c>
      <c r="C119" s="4" t="s">
        <v>15</v>
      </c>
      <c r="D119" s="4" t="s">
        <v>12</v>
      </c>
      <c r="E119" s="4" t="s">
        <v>16</v>
      </c>
      <c r="F119" s="4">
        <v>52</v>
      </c>
      <c r="G119" s="5">
        <v>274.09199999999998</v>
      </c>
    </row>
    <row r="120" spans="1:8">
      <c r="A120" s="4">
        <v>8</v>
      </c>
      <c r="B120" s="4" t="s">
        <v>7</v>
      </c>
      <c r="C120" s="4" t="s">
        <v>15</v>
      </c>
      <c r="D120" s="4" t="s">
        <v>12</v>
      </c>
      <c r="E120" s="4" t="s">
        <v>16</v>
      </c>
      <c r="F120" s="4">
        <v>61</v>
      </c>
      <c r="G120" s="5">
        <v>336.84199999999998</v>
      </c>
    </row>
    <row r="121" spans="1:8">
      <c r="A121" s="4">
        <v>10</v>
      </c>
      <c r="B121" s="4" t="s">
        <v>7</v>
      </c>
      <c r="C121" s="4" t="s">
        <v>15</v>
      </c>
      <c r="D121" s="4" t="s">
        <v>12</v>
      </c>
      <c r="E121" s="4" t="s">
        <v>16</v>
      </c>
      <c r="F121" s="4">
        <v>68</v>
      </c>
      <c r="G121" s="5">
        <v>512.04</v>
      </c>
    </row>
    <row r="122" spans="1:8">
      <c r="A122" s="4">
        <v>12</v>
      </c>
      <c r="B122" s="4" t="s">
        <v>7</v>
      </c>
      <c r="C122" s="4" t="s">
        <v>15</v>
      </c>
      <c r="D122" s="4" t="s">
        <v>12</v>
      </c>
      <c r="E122" s="4" t="s">
        <v>16</v>
      </c>
      <c r="F122" s="4">
        <v>70</v>
      </c>
      <c r="G122" s="5">
        <v>379.512</v>
      </c>
    </row>
    <row r="123" spans="1:8">
      <c r="A123" s="4">
        <v>13</v>
      </c>
      <c r="B123" s="4" t="s">
        <v>7</v>
      </c>
      <c r="C123" s="4" t="s">
        <v>15</v>
      </c>
      <c r="D123" s="4" t="s">
        <v>12</v>
      </c>
      <c r="E123" s="4" t="s">
        <v>16</v>
      </c>
      <c r="F123" s="4">
        <v>72</v>
      </c>
      <c r="G123" s="5">
        <v>397.58399999999995</v>
      </c>
    </row>
    <row r="124" spans="1:8">
      <c r="A124" s="4">
        <v>14</v>
      </c>
      <c r="B124" s="4" t="s">
        <v>7</v>
      </c>
      <c r="C124" s="4" t="s">
        <v>15</v>
      </c>
      <c r="D124" s="4" t="s">
        <v>12</v>
      </c>
      <c r="E124" s="4" t="s">
        <v>16</v>
      </c>
      <c r="F124" s="4">
        <v>73</v>
      </c>
      <c r="G124" s="5">
        <v>659.62799999999993</v>
      </c>
    </row>
    <row r="125" spans="1:8">
      <c r="A125" s="4">
        <v>15</v>
      </c>
      <c r="B125" s="4" t="s">
        <v>7</v>
      </c>
      <c r="C125" s="4" t="s">
        <v>15</v>
      </c>
      <c r="D125" s="4" t="s">
        <v>12</v>
      </c>
      <c r="E125" s="4" t="s">
        <v>16</v>
      </c>
      <c r="F125" s="4">
        <v>74</v>
      </c>
      <c r="G125" s="5">
        <v>482.92399999999998</v>
      </c>
    </row>
    <row r="126" spans="1:8">
      <c r="A126" s="4">
        <v>19</v>
      </c>
      <c r="B126" s="4" t="s">
        <v>7</v>
      </c>
      <c r="C126" s="4" t="s">
        <v>15</v>
      </c>
      <c r="D126" s="4" t="s">
        <v>12</v>
      </c>
      <c r="E126" s="4" t="s">
        <v>16</v>
      </c>
      <c r="F126" s="4">
        <v>79</v>
      </c>
      <c r="G126" s="5">
        <v>475.89599999999996</v>
      </c>
    </row>
    <row r="127" spans="1:8">
      <c r="A127" s="4">
        <v>23</v>
      </c>
      <c r="B127" s="4" t="s">
        <v>7</v>
      </c>
      <c r="C127" s="4" t="s">
        <v>15</v>
      </c>
      <c r="D127" s="4" t="s">
        <v>12</v>
      </c>
      <c r="E127" s="4" t="s">
        <v>16</v>
      </c>
      <c r="F127" s="4">
        <v>81</v>
      </c>
      <c r="G127" s="5">
        <v>691.25399999999991</v>
      </c>
    </row>
    <row r="128" spans="1:8">
      <c r="A128" s="4">
        <v>24</v>
      </c>
      <c r="B128" s="4" t="s">
        <v>7</v>
      </c>
      <c r="C128" s="4" t="s">
        <v>15</v>
      </c>
      <c r="D128" s="4" t="s">
        <v>12</v>
      </c>
      <c r="E128" s="4" t="s">
        <v>16</v>
      </c>
      <c r="F128" s="4">
        <v>83</v>
      </c>
      <c r="G128" s="5">
        <v>466.6592</v>
      </c>
    </row>
    <row r="129" spans="1:7">
      <c r="A129" s="4">
        <v>26</v>
      </c>
      <c r="B129" s="4" t="s">
        <v>7</v>
      </c>
      <c r="C129" s="4" t="s">
        <v>15</v>
      </c>
      <c r="D129" s="4" t="s">
        <v>12</v>
      </c>
      <c r="E129" s="4" t="s">
        <v>16</v>
      </c>
      <c r="F129" s="4">
        <v>84</v>
      </c>
      <c r="G129" s="5">
        <v>421.67999999999995</v>
      </c>
    </row>
    <row r="130" spans="1:7">
      <c r="A130" s="4">
        <v>27</v>
      </c>
      <c r="B130" s="4" t="s">
        <v>7</v>
      </c>
      <c r="C130" s="4" t="s">
        <v>15</v>
      </c>
      <c r="D130" s="4" t="s">
        <v>12</v>
      </c>
      <c r="E130" s="4" t="s">
        <v>16</v>
      </c>
      <c r="F130" s="4">
        <v>85</v>
      </c>
      <c r="G130" s="5">
        <v>725.39</v>
      </c>
    </row>
    <row r="131" spans="1:7">
      <c r="A131" s="4">
        <v>30</v>
      </c>
      <c r="B131" s="4" t="s">
        <v>7</v>
      </c>
      <c r="C131" s="4" t="s">
        <v>15</v>
      </c>
      <c r="D131" s="4" t="s">
        <v>12</v>
      </c>
      <c r="E131" s="4" t="s">
        <v>16</v>
      </c>
      <c r="F131" s="4">
        <v>90</v>
      </c>
      <c r="G131" s="5">
        <v>406.61999999999995</v>
      </c>
    </row>
    <row r="132" spans="1:7">
      <c r="A132" s="4">
        <v>32</v>
      </c>
      <c r="B132" s="4" t="s">
        <v>7</v>
      </c>
      <c r="C132" s="4" t="s">
        <v>15</v>
      </c>
      <c r="D132" s="4" t="s">
        <v>12</v>
      </c>
      <c r="E132" s="4" t="s">
        <v>16</v>
      </c>
      <c r="F132" s="4">
        <v>92</v>
      </c>
      <c r="G132" s="5">
        <v>831.31200000000001</v>
      </c>
    </row>
    <row r="133" spans="1:7">
      <c r="A133" s="4">
        <v>33</v>
      </c>
      <c r="B133" s="4" t="s">
        <v>7</v>
      </c>
      <c r="C133" s="4" t="s">
        <v>15</v>
      </c>
      <c r="D133" s="4" t="s">
        <v>12</v>
      </c>
      <c r="E133" s="4" t="s">
        <v>16</v>
      </c>
      <c r="F133" s="4">
        <v>100</v>
      </c>
      <c r="G133" s="5">
        <v>702.79999999999984</v>
      </c>
    </row>
    <row r="134" spans="1:7">
      <c r="A134" s="22">
        <v>35</v>
      </c>
      <c r="B134" s="4" t="s">
        <v>7</v>
      </c>
      <c r="C134" s="4" t="s">
        <v>15</v>
      </c>
      <c r="D134" s="4" t="s">
        <v>12</v>
      </c>
      <c r="E134" s="4" t="s">
        <v>16</v>
      </c>
      <c r="F134" s="4">
        <v>102</v>
      </c>
      <c r="G134" s="5">
        <v>921.67199999999991</v>
      </c>
    </row>
    <row r="135" spans="1:7">
      <c r="A135" s="22">
        <v>37</v>
      </c>
      <c r="B135" s="4" t="s">
        <v>7</v>
      </c>
      <c r="C135" s="4" t="s">
        <v>15</v>
      </c>
      <c r="D135" s="4" t="s">
        <v>12</v>
      </c>
      <c r="E135" s="4" t="s">
        <v>16</v>
      </c>
      <c r="F135" s="4">
        <v>108</v>
      </c>
      <c r="G135" s="5">
        <v>650.59199999999998</v>
      </c>
    </row>
    <row r="136" spans="1:7">
      <c r="A136" s="22">
        <v>40</v>
      </c>
      <c r="B136" s="4" t="s">
        <v>7</v>
      </c>
      <c r="C136" s="4" t="s">
        <v>15</v>
      </c>
      <c r="D136" s="4" t="s">
        <v>12</v>
      </c>
      <c r="E136" s="4" t="s">
        <v>16</v>
      </c>
      <c r="F136" s="4">
        <v>114</v>
      </c>
      <c r="G136" s="5">
        <v>502</v>
      </c>
    </row>
    <row r="137" spans="1:7">
      <c r="A137" s="22">
        <v>43</v>
      </c>
      <c r="B137" s="4" t="s">
        <v>7</v>
      </c>
      <c r="C137" s="4" t="s">
        <v>15</v>
      </c>
      <c r="D137" s="4" t="s">
        <v>12</v>
      </c>
      <c r="E137" s="4" t="s">
        <v>16</v>
      </c>
      <c r="F137" s="4">
        <v>115</v>
      </c>
      <c r="G137" s="5">
        <v>692.75999999999988</v>
      </c>
    </row>
    <row r="138" spans="1:7">
      <c r="A138" s="22">
        <v>45</v>
      </c>
      <c r="B138" s="4" t="s">
        <v>7</v>
      </c>
      <c r="C138" s="4" t="s">
        <v>15</v>
      </c>
      <c r="D138" s="4" t="s">
        <v>12</v>
      </c>
      <c r="E138" s="4" t="s">
        <v>16</v>
      </c>
      <c r="F138" s="4">
        <v>117</v>
      </c>
      <c r="G138" s="5">
        <v>728.30159999999989</v>
      </c>
    </row>
    <row r="139" spans="1:7">
      <c r="A139" s="22">
        <v>46</v>
      </c>
      <c r="B139" s="4" t="s">
        <v>7</v>
      </c>
      <c r="C139" s="4" t="s">
        <v>15</v>
      </c>
      <c r="D139" s="4" t="s">
        <v>12</v>
      </c>
      <c r="E139" s="4" t="s">
        <v>16</v>
      </c>
      <c r="F139" s="4">
        <v>117</v>
      </c>
      <c r="G139" s="5">
        <v>998.47799999999984</v>
      </c>
    </row>
    <row r="140" spans="1:7">
      <c r="A140" s="22">
        <v>49</v>
      </c>
      <c r="B140" s="4" t="s">
        <v>7</v>
      </c>
      <c r="C140" s="4" t="s">
        <v>15</v>
      </c>
      <c r="D140" s="4" t="s">
        <v>12</v>
      </c>
      <c r="E140" s="4" t="s">
        <v>16</v>
      </c>
      <c r="F140" s="4">
        <v>125</v>
      </c>
      <c r="G140" s="5">
        <v>1004</v>
      </c>
    </row>
    <row r="141" spans="1:7">
      <c r="A141" s="22">
        <v>51</v>
      </c>
      <c r="B141" s="4" t="s">
        <v>7</v>
      </c>
      <c r="C141" s="4" t="s">
        <v>15</v>
      </c>
      <c r="D141" s="4" t="s">
        <v>12</v>
      </c>
      <c r="E141" s="4" t="s">
        <v>16</v>
      </c>
      <c r="F141" s="4">
        <v>127</v>
      </c>
      <c r="G141" s="5">
        <v>1020.064</v>
      </c>
    </row>
    <row r="142" spans="1:7">
      <c r="A142" s="22">
        <v>52</v>
      </c>
      <c r="B142" s="4" t="s">
        <v>7</v>
      </c>
      <c r="C142" s="4" t="s">
        <v>15</v>
      </c>
      <c r="D142" s="4" t="s">
        <v>12</v>
      </c>
      <c r="E142" s="4" t="s">
        <v>16</v>
      </c>
      <c r="F142" s="6">
        <v>135</v>
      </c>
      <c r="G142" s="6">
        <v>1053</v>
      </c>
    </row>
    <row r="143" spans="1:7">
      <c r="A143" s="22">
        <v>54</v>
      </c>
      <c r="B143" s="4" t="s">
        <v>7</v>
      </c>
      <c r="C143" s="4" t="s">
        <v>15</v>
      </c>
      <c r="D143" s="4" t="s">
        <v>12</v>
      </c>
      <c r="E143" s="4" t="s">
        <v>16</v>
      </c>
      <c r="F143" s="4">
        <v>136</v>
      </c>
      <c r="G143" s="5">
        <v>1024.08</v>
      </c>
    </row>
    <row r="144" spans="1:7">
      <c r="A144" s="22">
        <v>55</v>
      </c>
      <c r="B144" s="4" t="s">
        <v>7</v>
      </c>
      <c r="C144" s="4" t="s">
        <v>15</v>
      </c>
      <c r="D144" s="4" t="s">
        <v>12</v>
      </c>
      <c r="E144" s="4" t="s">
        <v>16</v>
      </c>
      <c r="F144" s="4">
        <v>143</v>
      </c>
      <c r="G144" s="5">
        <v>861.4319999999999</v>
      </c>
    </row>
    <row r="145" spans="1:7">
      <c r="A145" s="22">
        <v>59</v>
      </c>
      <c r="B145" s="4" t="s">
        <v>7</v>
      </c>
      <c r="C145" s="4" t="s">
        <v>15</v>
      </c>
      <c r="D145" s="4" t="s">
        <v>12</v>
      </c>
      <c r="E145" s="4" t="s">
        <v>16</v>
      </c>
      <c r="F145" s="4">
        <v>153</v>
      </c>
      <c r="G145" s="5">
        <v>1228.896</v>
      </c>
    </row>
    <row r="146" spans="1:7">
      <c r="A146" s="22">
        <v>60</v>
      </c>
      <c r="B146" s="4" t="s">
        <v>7</v>
      </c>
      <c r="C146" s="4" t="s">
        <v>15</v>
      </c>
      <c r="D146" s="4" t="s">
        <v>12</v>
      </c>
      <c r="E146" s="4" t="s">
        <v>16</v>
      </c>
      <c r="F146" s="6">
        <v>156</v>
      </c>
      <c r="G146" s="6">
        <v>1025</v>
      </c>
    </row>
    <row r="147" spans="1:7">
      <c r="A147" s="22">
        <v>63</v>
      </c>
      <c r="B147" s="4" t="s">
        <v>7</v>
      </c>
      <c r="C147" s="4" t="s">
        <v>15</v>
      </c>
      <c r="D147" s="4" t="s">
        <v>12</v>
      </c>
      <c r="E147" s="4" t="s">
        <v>16</v>
      </c>
      <c r="F147" s="4">
        <v>162</v>
      </c>
      <c r="G147" s="5">
        <v>1305</v>
      </c>
    </row>
    <row r="148" spans="1:7">
      <c r="A148" s="22">
        <v>71</v>
      </c>
      <c r="B148" s="4" t="s">
        <v>7</v>
      </c>
      <c r="C148" s="4" t="s">
        <v>15</v>
      </c>
      <c r="D148" s="6" t="s">
        <v>14</v>
      </c>
      <c r="E148" s="4" t="s">
        <v>16</v>
      </c>
      <c r="F148" s="6">
        <v>183</v>
      </c>
      <c r="G148" s="6">
        <v>460</v>
      </c>
    </row>
    <row r="149" spans="1:7">
      <c r="A149" s="22">
        <v>73</v>
      </c>
      <c r="B149" s="4" t="s">
        <v>7</v>
      </c>
      <c r="C149" s="4" t="s">
        <v>15</v>
      </c>
      <c r="D149" s="4" t="s">
        <v>12</v>
      </c>
      <c r="E149" s="4" t="s">
        <v>16</v>
      </c>
      <c r="F149" s="4">
        <v>193</v>
      </c>
      <c r="G149" s="5">
        <v>734</v>
      </c>
    </row>
    <row r="150" spans="1:7">
      <c r="A150" s="22">
        <v>80</v>
      </c>
      <c r="B150" s="4" t="s">
        <v>7</v>
      </c>
      <c r="C150" s="4" t="s">
        <v>15</v>
      </c>
      <c r="D150" s="4" t="s">
        <v>12</v>
      </c>
      <c r="E150" s="4" t="s">
        <v>16</v>
      </c>
      <c r="F150" s="4">
        <v>310</v>
      </c>
      <c r="G150" s="5">
        <v>933.7199999999998</v>
      </c>
    </row>
    <row r="152" spans="1:7">
      <c r="A152" t="s">
        <v>28</v>
      </c>
    </row>
    <row r="153" spans="1:7" ht="20">
      <c r="A153" s="13" t="s">
        <v>29</v>
      </c>
    </row>
    <row r="154" spans="1:7" ht="17">
      <c r="A154" s="14" t="s">
        <v>30</v>
      </c>
      <c r="B154" s="14" t="s">
        <v>6</v>
      </c>
      <c r="C154" s="14"/>
      <c r="D154" s="14"/>
      <c r="E154" s="14"/>
      <c r="F154" s="14"/>
      <c r="G154" s="14"/>
    </row>
    <row r="155" spans="1:7" ht="17">
      <c r="A155" s="14">
        <v>30</v>
      </c>
      <c r="B155" s="14">
        <v>460</v>
      </c>
      <c r="C155" s="14"/>
      <c r="D155" s="14"/>
      <c r="E155" s="14"/>
      <c r="F155" s="14"/>
      <c r="G155" s="14"/>
    </row>
    <row r="156" spans="1:7" ht="17">
      <c r="A156" s="14">
        <v>32</v>
      </c>
      <c r="B156" s="14">
        <v>934</v>
      </c>
      <c r="C156" s="14"/>
      <c r="D156" s="14"/>
      <c r="E156" s="14"/>
      <c r="F156" s="14"/>
      <c r="G156" s="14"/>
    </row>
    <row r="158" spans="1:7">
      <c r="A158" s="1" t="s">
        <v>0</v>
      </c>
      <c r="B158" s="8" t="s">
        <v>1</v>
      </c>
      <c r="C158" s="7" t="s">
        <v>2</v>
      </c>
      <c r="D158" s="7" t="s">
        <v>3</v>
      </c>
      <c r="E158" s="9" t="s">
        <v>4</v>
      </c>
      <c r="F158" s="2" t="s">
        <v>5</v>
      </c>
      <c r="G158" s="2" t="s">
        <v>6</v>
      </c>
    </row>
    <row r="159" spans="1:7">
      <c r="A159" s="4">
        <v>7</v>
      </c>
      <c r="B159" s="4" t="s">
        <v>7</v>
      </c>
      <c r="C159" s="4" t="s">
        <v>15</v>
      </c>
      <c r="D159" s="4" t="s">
        <v>12</v>
      </c>
      <c r="E159" s="4" t="s">
        <v>16</v>
      </c>
      <c r="F159" s="4">
        <v>52</v>
      </c>
      <c r="G159" s="5">
        <v>274.09199999999998</v>
      </c>
    </row>
    <row r="160" spans="1:7">
      <c r="A160" s="4">
        <v>8</v>
      </c>
      <c r="B160" s="4" t="s">
        <v>7</v>
      </c>
      <c r="C160" s="4" t="s">
        <v>15</v>
      </c>
      <c r="D160" s="4" t="s">
        <v>12</v>
      </c>
      <c r="E160" s="4" t="s">
        <v>16</v>
      </c>
      <c r="F160" s="4">
        <v>61</v>
      </c>
      <c r="G160" s="5">
        <v>336.84199999999998</v>
      </c>
    </row>
    <row r="161" spans="1:7">
      <c r="A161" s="4">
        <v>10</v>
      </c>
      <c r="B161" s="4" t="s">
        <v>7</v>
      </c>
      <c r="C161" s="4" t="s">
        <v>15</v>
      </c>
      <c r="D161" s="4" t="s">
        <v>12</v>
      </c>
      <c r="E161" s="4" t="s">
        <v>16</v>
      </c>
      <c r="F161" s="4">
        <v>68</v>
      </c>
      <c r="G161" s="5">
        <v>512.04</v>
      </c>
    </row>
    <row r="162" spans="1:7">
      <c r="A162" s="4">
        <v>12</v>
      </c>
      <c r="B162" s="4" t="s">
        <v>7</v>
      </c>
      <c r="C162" s="4" t="s">
        <v>15</v>
      </c>
      <c r="D162" s="4" t="s">
        <v>12</v>
      </c>
      <c r="E162" s="4" t="s">
        <v>16</v>
      </c>
      <c r="F162" s="4">
        <v>70</v>
      </c>
      <c r="G162" s="5">
        <v>379.512</v>
      </c>
    </row>
    <row r="163" spans="1:7">
      <c r="A163" s="4">
        <v>13</v>
      </c>
      <c r="B163" s="4" t="s">
        <v>7</v>
      </c>
      <c r="C163" s="4" t="s">
        <v>15</v>
      </c>
      <c r="D163" s="4" t="s">
        <v>12</v>
      </c>
      <c r="E163" s="4" t="s">
        <v>16</v>
      </c>
      <c r="F163" s="4">
        <v>72</v>
      </c>
      <c r="G163" s="5">
        <v>397.58399999999995</v>
      </c>
    </row>
    <row r="164" spans="1:7">
      <c r="A164" s="4">
        <v>14</v>
      </c>
      <c r="B164" s="4" t="s">
        <v>7</v>
      </c>
      <c r="C164" s="4" t="s">
        <v>15</v>
      </c>
      <c r="D164" s="4" t="s">
        <v>12</v>
      </c>
      <c r="E164" s="4" t="s">
        <v>16</v>
      </c>
      <c r="F164" s="4">
        <v>73</v>
      </c>
      <c r="G164" s="5">
        <v>659.62799999999993</v>
      </c>
    </row>
    <row r="165" spans="1:7">
      <c r="A165" s="4">
        <v>15</v>
      </c>
      <c r="B165" s="4" t="s">
        <v>7</v>
      </c>
      <c r="C165" s="4" t="s">
        <v>15</v>
      </c>
      <c r="D165" s="4" t="s">
        <v>12</v>
      </c>
      <c r="E165" s="4" t="s">
        <v>16</v>
      </c>
      <c r="F165" s="4">
        <v>74</v>
      </c>
      <c r="G165" s="5">
        <v>482.92399999999998</v>
      </c>
    </row>
    <row r="166" spans="1:7">
      <c r="A166" s="4">
        <v>19</v>
      </c>
      <c r="B166" s="4" t="s">
        <v>7</v>
      </c>
      <c r="C166" s="4" t="s">
        <v>15</v>
      </c>
      <c r="D166" s="4" t="s">
        <v>12</v>
      </c>
      <c r="E166" s="4" t="s">
        <v>16</v>
      </c>
      <c r="F166" s="4">
        <v>79</v>
      </c>
      <c r="G166" s="5">
        <v>475.89599999999996</v>
      </c>
    </row>
    <row r="167" spans="1:7">
      <c r="A167" s="4">
        <v>23</v>
      </c>
      <c r="B167" s="4" t="s">
        <v>7</v>
      </c>
      <c r="C167" s="4" t="s">
        <v>15</v>
      </c>
      <c r="D167" s="4" t="s">
        <v>12</v>
      </c>
      <c r="E167" s="4" t="s">
        <v>16</v>
      </c>
      <c r="F167" s="4">
        <v>81</v>
      </c>
      <c r="G167" s="5">
        <v>691.25399999999991</v>
      </c>
    </row>
    <row r="168" spans="1:7">
      <c r="A168" s="4">
        <v>24</v>
      </c>
      <c r="B168" s="4" t="s">
        <v>7</v>
      </c>
      <c r="C168" s="4" t="s">
        <v>15</v>
      </c>
      <c r="D168" s="4" t="s">
        <v>12</v>
      </c>
      <c r="E168" s="4" t="s">
        <v>16</v>
      </c>
      <c r="F168" s="4">
        <v>83</v>
      </c>
      <c r="G168" s="5">
        <v>466.6592</v>
      </c>
    </row>
    <row r="169" spans="1:7">
      <c r="A169" s="4">
        <v>26</v>
      </c>
      <c r="B169" s="4" t="s">
        <v>7</v>
      </c>
      <c r="C169" s="4" t="s">
        <v>15</v>
      </c>
      <c r="D169" s="4" t="s">
        <v>12</v>
      </c>
      <c r="E169" s="4" t="s">
        <v>16</v>
      </c>
      <c r="F169" s="4">
        <v>84</v>
      </c>
      <c r="G169" s="5">
        <v>421.67999999999995</v>
      </c>
    </row>
    <row r="170" spans="1:7">
      <c r="A170" s="4">
        <v>27</v>
      </c>
      <c r="B170" s="4" t="s">
        <v>7</v>
      </c>
      <c r="C170" s="4" t="s">
        <v>15</v>
      </c>
      <c r="D170" s="4" t="s">
        <v>12</v>
      </c>
      <c r="E170" s="4" t="s">
        <v>16</v>
      </c>
      <c r="F170" s="4">
        <v>85</v>
      </c>
      <c r="G170" s="5">
        <v>725.39</v>
      </c>
    </row>
    <row r="171" spans="1:7">
      <c r="A171" s="4">
        <v>30</v>
      </c>
      <c r="B171" s="4" t="s">
        <v>7</v>
      </c>
      <c r="C171" s="4" t="s">
        <v>15</v>
      </c>
      <c r="D171" s="4" t="s">
        <v>12</v>
      </c>
      <c r="E171" s="4" t="s">
        <v>16</v>
      </c>
      <c r="F171" s="4">
        <v>90</v>
      </c>
      <c r="G171" s="5">
        <v>406.61999999999995</v>
      </c>
    </row>
    <row r="172" spans="1:7">
      <c r="A172" s="4">
        <v>32</v>
      </c>
      <c r="B172" s="4" t="s">
        <v>7</v>
      </c>
      <c r="C172" s="4" t="s">
        <v>15</v>
      </c>
      <c r="D172" s="4" t="s">
        <v>12</v>
      </c>
      <c r="E172" s="4" t="s">
        <v>16</v>
      </c>
      <c r="F172" s="4">
        <v>92</v>
      </c>
      <c r="G172" s="5">
        <v>831.31200000000001</v>
      </c>
    </row>
    <row r="173" spans="1:7">
      <c r="A173" s="4">
        <v>33</v>
      </c>
      <c r="B173" s="4" t="s">
        <v>7</v>
      </c>
      <c r="C173" s="4" t="s">
        <v>15</v>
      </c>
      <c r="D173" s="4" t="s">
        <v>12</v>
      </c>
      <c r="E173" s="4" t="s">
        <v>16</v>
      </c>
      <c r="F173" s="4">
        <v>100</v>
      </c>
      <c r="G173" s="5">
        <v>702.79999999999984</v>
      </c>
    </row>
    <row r="174" spans="1:7">
      <c r="A174" s="22">
        <v>35</v>
      </c>
      <c r="B174" s="4" t="s">
        <v>7</v>
      </c>
      <c r="C174" s="4" t="s">
        <v>15</v>
      </c>
      <c r="D174" s="4" t="s">
        <v>12</v>
      </c>
      <c r="E174" s="4" t="s">
        <v>16</v>
      </c>
      <c r="F174" s="4">
        <v>102</v>
      </c>
      <c r="G174" s="5">
        <v>921.67199999999991</v>
      </c>
    </row>
    <row r="175" spans="1:7">
      <c r="A175" s="22">
        <v>37</v>
      </c>
      <c r="B175" s="4" t="s">
        <v>7</v>
      </c>
      <c r="C175" s="4" t="s">
        <v>15</v>
      </c>
      <c r="D175" s="4" t="s">
        <v>12</v>
      </c>
      <c r="E175" s="4" t="s">
        <v>16</v>
      </c>
      <c r="F175" s="4">
        <v>108</v>
      </c>
      <c r="G175" s="5">
        <v>650.59199999999998</v>
      </c>
    </row>
    <row r="176" spans="1:7">
      <c r="A176" s="22">
        <v>40</v>
      </c>
      <c r="B176" s="4" t="s">
        <v>7</v>
      </c>
      <c r="C176" s="4" t="s">
        <v>15</v>
      </c>
      <c r="D176" s="4" t="s">
        <v>12</v>
      </c>
      <c r="E176" s="4" t="s">
        <v>16</v>
      </c>
      <c r="F176" s="4">
        <v>114</v>
      </c>
      <c r="G176" s="5">
        <v>502</v>
      </c>
    </row>
    <row r="177" spans="1:11">
      <c r="A177" s="22">
        <v>43</v>
      </c>
      <c r="B177" s="4" t="s">
        <v>7</v>
      </c>
      <c r="C177" s="4" t="s">
        <v>15</v>
      </c>
      <c r="D177" s="4" t="s">
        <v>12</v>
      </c>
      <c r="E177" s="4" t="s">
        <v>16</v>
      </c>
      <c r="F177" s="4">
        <v>115</v>
      </c>
      <c r="G177" s="5">
        <v>692.75999999999988</v>
      </c>
    </row>
    <row r="178" spans="1:11">
      <c r="A178" s="22">
        <v>45</v>
      </c>
      <c r="B178" s="4" t="s">
        <v>7</v>
      </c>
      <c r="C178" s="4" t="s">
        <v>15</v>
      </c>
      <c r="D178" s="4" t="s">
        <v>12</v>
      </c>
      <c r="E178" s="4" t="s">
        <v>16</v>
      </c>
      <c r="F178" s="4">
        <v>117</v>
      </c>
      <c r="G178" s="5">
        <v>728.30159999999989</v>
      </c>
    </row>
    <row r="179" spans="1:11">
      <c r="A179" s="22">
        <v>46</v>
      </c>
      <c r="B179" s="4" t="s">
        <v>7</v>
      </c>
      <c r="C179" s="4" t="s">
        <v>15</v>
      </c>
      <c r="D179" s="4" t="s">
        <v>12</v>
      </c>
      <c r="E179" s="4" t="s">
        <v>16</v>
      </c>
      <c r="F179" s="4">
        <v>117</v>
      </c>
      <c r="G179" s="5">
        <v>998.47799999999984</v>
      </c>
    </row>
    <row r="180" spans="1:11">
      <c r="A180" s="22">
        <v>49</v>
      </c>
      <c r="B180" s="4" t="s">
        <v>7</v>
      </c>
      <c r="C180" s="4" t="s">
        <v>15</v>
      </c>
      <c r="D180" s="4" t="s">
        <v>12</v>
      </c>
      <c r="E180" s="4" t="s">
        <v>16</v>
      </c>
      <c r="F180" s="4">
        <v>125</v>
      </c>
      <c r="G180" s="5">
        <v>1004</v>
      </c>
    </row>
    <row r="181" spans="1:11">
      <c r="A181" s="22">
        <v>51</v>
      </c>
      <c r="B181" s="4" t="s">
        <v>7</v>
      </c>
      <c r="C181" s="4" t="s">
        <v>15</v>
      </c>
      <c r="D181" s="4" t="s">
        <v>12</v>
      </c>
      <c r="E181" s="4" t="s">
        <v>16</v>
      </c>
      <c r="F181" s="4">
        <v>127</v>
      </c>
      <c r="G181" s="5">
        <v>1020.064</v>
      </c>
    </row>
    <row r="182" spans="1:11">
      <c r="A182" s="22">
        <v>52</v>
      </c>
      <c r="B182" s="4" t="s">
        <v>7</v>
      </c>
      <c r="C182" s="4" t="s">
        <v>15</v>
      </c>
      <c r="D182" s="4" t="s">
        <v>12</v>
      </c>
      <c r="E182" s="4" t="s">
        <v>16</v>
      </c>
      <c r="F182" s="6">
        <v>135</v>
      </c>
      <c r="G182" s="6">
        <v>1053</v>
      </c>
    </row>
    <row r="183" spans="1:11">
      <c r="A183" s="22">
        <v>54</v>
      </c>
      <c r="B183" s="4" t="s">
        <v>7</v>
      </c>
      <c r="C183" s="4" t="s">
        <v>15</v>
      </c>
      <c r="D183" s="4" t="s">
        <v>12</v>
      </c>
      <c r="E183" s="4" t="s">
        <v>16</v>
      </c>
      <c r="F183" s="4">
        <v>136</v>
      </c>
      <c r="G183" s="5">
        <v>1024.08</v>
      </c>
    </row>
    <row r="184" spans="1:11">
      <c r="A184" s="22">
        <v>55</v>
      </c>
      <c r="B184" s="4" t="s">
        <v>7</v>
      </c>
      <c r="C184" s="4" t="s">
        <v>15</v>
      </c>
      <c r="D184" s="4" t="s">
        <v>12</v>
      </c>
      <c r="E184" s="4" t="s">
        <v>16</v>
      </c>
      <c r="F184" s="4">
        <v>143</v>
      </c>
      <c r="G184" s="5">
        <v>861.4319999999999</v>
      </c>
    </row>
    <row r="185" spans="1:11">
      <c r="A185" s="22">
        <v>59</v>
      </c>
      <c r="B185" s="4" t="s">
        <v>7</v>
      </c>
      <c r="C185" s="4" t="s">
        <v>15</v>
      </c>
      <c r="D185" s="4" t="s">
        <v>12</v>
      </c>
      <c r="E185" s="4" t="s">
        <v>16</v>
      </c>
      <c r="F185" s="4">
        <v>153</v>
      </c>
      <c r="G185" s="5">
        <v>1228.896</v>
      </c>
    </row>
    <row r="186" spans="1:11">
      <c r="A186" s="22">
        <v>60</v>
      </c>
      <c r="B186" s="4" t="s">
        <v>7</v>
      </c>
      <c r="C186" s="4" t="s">
        <v>15</v>
      </c>
      <c r="D186" s="4" t="s">
        <v>12</v>
      </c>
      <c r="E186" s="4" t="s">
        <v>16</v>
      </c>
      <c r="F186" s="6">
        <v>156</v>
      </c>
      <c r="G186" s="6">
        <v>1025</v>
      </c>
    </row>
    <row r="187" spans="1:11">
      <c r="A187" s="22">
        <v>63</v>
      </c>
      <c r="B187" s="4" t="s">
        <v>7</v>
      </c>
      <c r="C187" s="4" t="s">
        <v>15</v>
      </c>
      <c r="D187" s="4" t="s">
        <v>12</v>
      </c>
      <c r="E187" s="4" t="s">
        <v>16</v>
      </c>
      <c r="F187" s="4">
        <v>162</v>
      </c>
      <c r="G187" s="5">
        <v>1305</v>
      </c>
    </row>
    <row r="188" spans="1:11">
      <c r="A188" s="22">
        <v>71</v>
      </c>
      <c r="B188" s="4" t="s">
        <v>7</v>
      </c>
      <c r="C188" s="4" t="s">
        <v>15</v>
      </c>
      <c r="D188" s="6" t="s">
        <v>14</v>
      </c>
      <c r="E188" s="4" t="s">
        <v>16</v>
      </c>
      <c r="F188" s="6">
        <v>183</v>
      </c>
      <c r="G188" s="6">
        <v>460</v>
      </c>
      <c r="H188" s="20" t="s">
        <v>31</v>
      </c>
    </row>
    <row r="189" spans="1:11" ht="17">
      <c r="A189" s="22">
        <v>73</v>
      </c>
      <c r="B189" s="4" t="s">
        <v>7</v>
      </c>
      <c r="C189" s="4" t="s">
        <v>15</v>
      </c>
      <c r="D189" s="4" t="s">
        <v>12</v>
      </c>
      <c r="E189" s="4" t="s">
        <v>16</v>
      </c>
      <c r="F189" s="4">
        <v>193</v>
      </c>
      <c r="G189" s="5">
        <v>734</v>
      </c>
      <c r="H189" s="14"/>
      <c r="I189" s="14"/>
      <c r="J189" s="14"/>
      <c r="K189" s="14"/>
    </row>
    <row r="190" spans="1:11" ht="17">
      <c r="A190" s="22">
        <v>80</v>
      </c>
      <c r="B190" s="4" t="s">
        <v>7</v>
      </c>
      <c r="C190" s="4" t="s">
        <v>15</v>
      </c>
      <c r="D190" s="4" t="s">
        <v>12</v>
      </c>
      <c r="E190" s="4" t="s">
        <v>16</v>
      </c>
      <c r="F190" s="4">
        <v>310</v>
      </c>
      <c r="G190" s="5">
        <v>933.7199999999998</v>
      </c>
      <c r="H190" s="20" t="s">
        <v>31</v>
      </c>
      <c r="I190" s="14"/>
      <c r="J190" s="14"/>
      <c r="K190" s="14"/>
    </row>
    <row r="191" spans="1:11" ht="17">
      <c r="H191" s="14"/>
      <c r="I191" s="14"/>
      <c r="J191" s="14"/>
      <c r="K191" s="14"/>
    </row>
    <row r="192" spans="1:11" ht="17">
      <c r="A192" s="1" t="s">
        <v>0</v>
      </c>
      <c r="B192" s="8" t="s">
        <v>1</v>
      </c>
      <c r="C192" s="7" t="s">
        <v>2</v>
      </c>
      <c r="D192" s="7" t="s">
        <v>3</v>
      </c>
      <c r="E192" s="9" t="s">
        <v>4</v>
      </c>
      <c r="F192" s="2" t="s">
        <v>5</v>
      </c>
      <c r="G192" s="2" t="s">
        <v>6</v>
      </c>
      <c r="H192" s="14"/>
      <c r="I192" s="14"/>
      <c r="J192" s="14"/>
      <c r="K192" s="14"/>
    </row>
    <row r="193" spans="1:7">
      <c r="A193" s="4">
        <v>7</v>
      </c>
      <c r="B193" s="4" t="s">
        <v>7</v>
      </c>
      <c r="C193" s="4" t="s">
        <v>15</v>
      </c>
      <c r="D193" s="4" t="s">
        <v>12</v>
      </c>
      <c r="E193" s="4" t="s">
        <v>16</v>
      </c>
      <c r="F193" s="4">
        <v>52</v>
      </c>
      <c r="G193" s="5">
        <v>274.09199999999998</v>
      </c>
    </row>
    <row r="194" spans="1:7">
      <c r="A194" s="4">
        <v>8</v>
      </c>
      <c r="B194" s="4" t="s">
        <v>7</v>
      </c>
      <c r="C194" s="4" t="s">
        <v>15</v>
      </c>
      <c r="D194" s="4" t="s">
        <v>12</v>
      </c>
      <c r="E194" s="4" t="s">
        <v>16</v>
      </c>
      <c r="F194" s="4">
        <v>61</v>
      </c>
      <c r="G194" s="5">
        <v>336.84199999999998</v>
      </c>
    </row>
    <row r="195" spans="1:7">
      <c r="A195" s="4">
        <v>10</v>
      </c>
      <c r="B195" s="4" t="s">
        <v>7</v>
      </c>
      <c r="C195" s="4" t="s">
        <v>15</v>
      </c>
      <c r="D195" s="4" t="s">
        <v>12</v>
      </c>
      <c r="E195" s="4" t="s">
        <v>16</v>
      </c>
      <c r="F195" s="4">
        <v>68</v>
      </c>
      <c r="G195" s="5">
        <v>512.04</v>
      </c>
    </row>
    <row r="196" spans="1:7">
      <c r="A196" s="4">
        <v>12</v>
      </c>
      <c r="B196" s="4" t="s">
        <v>7</v>
      </c>
      <c r="C196" s="4" t="s">
        <v>15</v>
      </c>
      <c r="D196" s="4" t="s">
        <v>12</v>
      </c>
      <c r="E196" s="4" t="s">
        <v>16</v>
      </c>
      <c r="F196" s="4">
        <v>70</v>
      </c>
      <c r="G196" s="5">
        <v>379.512</v>
      </c>
    </row>
    <row r="197" spans="1:7">
      <c r="A197" s="4">
        <v>13</v>
      </c>
      <c r="B197" s="4" t="s">
        <v>7</v>
      </c>
      <c r="C197" s="4" t="s">
        <v>15</v>
      </c>
      <c r="D197" s="4" t="s">
        <v>12</v>
      </c>
      <c r="E197" s="4" t="s">
        <v>16</v>
      </c>
      <c r="F197" s="4">
        <v>72</v>
      </c>
      <c r="G197" s="5">
        <v>397.58399999999995</v>
      </c>
    </row>
    <row r="198" spans="1:7">
      <c r="A198" s="4">
        <v>14</v>
      </c>
      <c r="B198" s="4" t="s">
        <v>7</v>
      </c>
      <c r="C198" s="4" t="s">
        <v>15</v>
      </c>
      <c r="D198" s="4" t="s">
        <v>12</v>
      </c>
      <c r="E198" s="4" t="s">
        <v>16</v>
      </c>
      <c r="F198" s="4">
        <v>73</v>
      </c>
      <c r="G198" s="5">
        <v>659.62799999999993</v>
      </c>
    </row>
    <row r="199" spans="1:7">
      <c r="A199" s="4">
        <v>15</v>
      </c>
      <c r="B199" s="4" t="s">
        <v>7</v>
      </c>
      <c r="C199" s="4" t="s">
        <v>15</v>
      </c>
      <c r="D199" s="4" t="s">
        <v>12</v>
      </c>
      <c r="E199" s="4" t="s">
        <v>16</v>
      </c>
      <c r="F199" s="4">
        <v>74</v>
      </c>
      <c r="G199" s="5">
        <v>482.92399999999998</v>
      </c>
    </row>
    <row r="200" spans="1:7">
      <c r="A200" s="4">
        <v>19</v>
      </c>
      <c r="B200" s="4" t="s">
        <v>7</v>
      </c>
      <c r="C200" s="4" t="s">
        <v>15</v>
      </c>
      <c r="D200" s="4" t="s">
        <v>12</v>
      </c>
      <c r="E200" s="4" t="s">
        <v>16</v>
      </c>
      <c r="F200" s="4">
        <v>79</v>
      </c>
      <c r="G200" s="5">
        <v>475.89599999999996</v>
      </c>
    </row>
    <row r="201" spans="1:7">
      <c r="A201" s="4">
        <v>23</v>
      </c>
      <c r="B201" s="4" t="s">
        <v>7</v>
      </c>
      <c r="C201" s="4" t="s">
        <v>15</v>
      </c>
      <c r="D201" s="4" t="s">
        <v>12</v>
      </c>
      <c r="E201" s="4" t="s">
        <v>16</v>
      </c>
      <c r="F201" s="4">
        <v>81</v>
      </c>
      <c r="G201" s="5">
        <v>691.25399999999991</v>
      </c>
    </row>
    <row r="202" spans="1:7">
      <c r="A202" s="4">
        <v>24</v>
      </c>
      <c r="B202" s="4" t="s">
        <v>7</v>
      </c>
      <c r="C202" s="4" t="s">
        <v>15</v>
      </c>
      <c r="D202" s="4" t="s">
        <v>12</v>
      </c>
      <c r="E202" s="4" t="s">
        <v>16</v>
      </c>
      <c r="F202" s="4">
        <v>83</v>
      </c>
      <c r="G202" s="5">
        <v>466.6592</v>
      </c>
    </row>
    <row r="203" spans="1:7">
      <c r="A203" s="4">
        <v>26</v>
      </c>
      <c r="B203" s="4" t="s">
        <v>7</v>
      </c>
      <c r="C203" s="4" t="s">
        <v>15</v>
      </c>
      <c r="D203" s="4" t="s">
        <v>12</v>
      </c>
      <c r="E203" s="4" t="s">
        <v>16</v>
      </c>
      <c r="F203" s="4">
        <v>84</v>
      </c>
      <c r="G203" s="5">
        <v>421.67999999999995</v>
      </c>
    </row>
    <row r="204" spans="1:7">
      <c r="A204" s="4">
        <v>27</v>
      </c>
      <c r="B204" s="4" t="s">
        <v>7</v>
      </c>
      <c r="C204" s="4" t="s">
        <v>15</v>
      </c>
      <c r="D204" s="4" t="s">
        <v>12</v>
      </c>
      <c r="E204" s="4" t="s">
        <v>16</v>
      </c>
      <c r="F204" s="4">
        <v>85</v>
      </c>
      <c r="G204" s="5">
        <v>725.39</v>
      </c>
    </row>
    <row r="205" spans="1:7">
      <c r="A205" s="4">
        <v>30</v>
      </c>
      <c r="B205" s="4" t="s">
        <v>7</v>
      </c>
      <c r="C205" s="4" t="s">
        <v>15</v>
      </c>
      <c r="D205" s="4" t="s">
        <v>12</v>
      </c>
      <c r="E205" s="4" t="s">
        <v>16</v>
      </c>
      <c r="F205" s="4">
        <v>90</v>
      </c>
      <c r="G205" s="5">
        <v>406.61999999999995</v>
      </c>
    </row>
    <row r="206" spans="1:7">
      <c r="A206" s="4">
        <v>32</v>
      </c>
      <c r="B206" s="4" t="s">
        <v>7</v>
      </c>
      <c r="C206" s="4" t="s">
        <v>15</v>
      </c>
      <c r="D206" s="4" t="s">
        <v>12</v>
      </c>
      <c r="E206" s="4" t="s">
        <v>16</v>
      </c>
      <c r="F206" s="4">
        <v>92</v>
      </c>
      <c r="G206" s="5">
        <v>831.31200000000001</v>
      </c>
    </row>
    <row r="207" spans="1:7">
      <c r="A207" s="4">
        <v>33</v>
      </c>
      <c r="B207" s="4" t="s">
        <v>7</v>
      </c>
      <c r="C207" s="4" t="s">
        <v>15</v>
      </c>
      <c r="D207" s="4" t="s">
        <v>12</v>
      </c>
      <c r="E207" s="4" t="s">
        <v>16</v>
      </c>
      <c r="F207" s="4">
        <v>100</v>
      </c>
      <c r="G207" s="5">
        <v>702.79999999999984</v>
      </c>
    </row>
    <row r="208" spans="1:7">
      <c r="A208" s="22">
        <v>35</v>
      </c>
      <c r="B208" s="4" t="s">
        <v>7</v>
      </c>
      <c r="C208" s="4" t="s">
        <v>15</v>
      </c>
      <c r="D208" s="4" t="s">
        <v>12</v>
      </c>
      <c r="E208" s="4" t="s">
        <v>16</v>
      </c>
      <c r="F208" s="4">
        <v>102</v>
      </c>
      <c r="G208" s="5">
        <v>921.67199999999991</v>
      </c>
    </row>
    <row r="209" spans="1:11">
      <c r="A209" s="22">
        <v>37</v>
      </c>
      <c r="B209" s="4" t="s">
        <v>7</v>
      </c>
      <c r="C209" s="4" t="s">
        <v>15</v>
      </c>
      <c r="D209" s="4" t="s">
        <v>12</v>
      </c>
      <c r="E209" s="4" t="s">
        <v>16</v>
      </c>
      <c r="F209" s="4">
        <v>108</v>
      </c>
      <c r="G209" s="5">
        <v>650.59199999999998</v>
      </c>
    </row>
    <row r="210" spans="1:11">
      <c r="A210" s="22">
        <v>40</v>
      </c>
      <c r="B210" s="4" t="s">
        <v>7</v>
      </c>
      <c r="C210" s="4" t="s">
        <v>15</v>
      </c>
      <c r="D210" s="4" t="s">
        <v>12</v>
      </c>
      <c r="E210" s="4" t="s">
        <v>16</v>
      </c>
      <c r="F210" s="4">
        <v>114</v>
      </c>
      <c r="G210" s="5">
        <v>502</v>
      </c>
    </row>
    <row r="211" spans="1:11" ht="17">
      <c r="A211" s="22">
        <v>43</v>
      </c>
      <c r="B211" s="4" t="s">
        <v>7</v>
      </c>
      <c r="C211" s="4" t="s">
        <v>15</v>
      </c>
      <c r="D211" s="4" t="s">
        <v>12</v>
      </c>
      <c r="E211" s="4" t="s">
        <v>16</v>
      </c>
      <c r="F211" s="4">
        <v>115</v>
      </c>
      <c r="G211" s="5">
        <v>692.75999999999988</v>
      </c>
      <c r="K211" s="14"/>
    </row>
    <row r="212" spans="1:11" ht="17">
      <c r="A212" s="22">
        <v>45</v>
      </c>
      <c r="B212" s="4" t="s">
        <v>7</v>
      </c>
      <c r="C212" s="4" t="s">
        <v>15</v>
      </c>
      <c r="D212" s="4" t="s">
        <v>12</v>
      </c>
      <c r="E212" s="4" t="s">
        <v>16</v>
      </c>
      <c r="F212" s="4">
        <v>117</v>
      </c>
      <c r="G212" s="5">
        <v>728.30159999999989</v>
      </c>
      <c r="K212" s="14"/>
    </row>
    <row r="213" spans="1:11">
      <c r="A213" s="22">
        <v>46</v>
      </c>
      <c r="B213" s="4" t="s">
        <v>7</v>
      </c>
      <c r="C213" s="4" t="s">
        <v>15</v>
      </c>
      <c r="D213" s="4" t="s">
        <v>12</v>
      </c>
      <c r="E213" s="4" t="s">
        <v>16</v>
      </c>
      <c r="F213" s="4">
        <v>117</v>
      </c>
      <c r="G213" s="5">
        <v>998.47799999999984</v>
      </c>
    </row>
    <row r="214" spans="1:11">
      <c r="A214" s="22">
        <v>49</v>
      </c>
      <c r="B214" s="4" t="s">
        <v>7</v>
      </c>
      <c r="C214" s="4" t="s">
        <v>15</v>
      </c>
      <c r="D214" s="4" t="s">
        <v>12</v>
      </c>
      <c r="E214" s="4" t="s">
        <v>16</v>
      </c>
      <c r="F214" s="4">
        <v>125</v>
      </c>
      <c r="G214" s="5">
        <v>1004</v>
      </c>
    </row>
    <row r="215" spans="1:11">
      <c r="A215" s="22">
        <v>51</v>
      </c>
      <c r="B215" s="4" t="s">
        <v>7</v>
      </c>
      <c r="C215" s="4" t="s">
        <v>15</v>
      </c>
      <c r="D215" s="4" t="s">
        <v>12</v>
      </c>
      <c r="E215" s="4" t="s">
        <v>16</v>
      </c>
      <c r="F215" s="4">
        <v>127</v>
      </c>
      <c r="G215" s="5">
        <v>1020.064</v>
      </c>
    </row>
    <row r="216" spans="1:11">
      <c r="A216" s="22">
        <v>52</v>
      </c>
      <c r="B216" s="4" t="s">
        <v>7</v>
      </c>
      <c r="C216" s="4" t="s">
        <v>15</v>
      </c>
      <c r="D216" s="4" t="s">
        <v>12</v>
      </c>
      <c r="E216" s="4" t="s">
        <v>16</v>
      </c>
      <c r="F216" s="6">
        <v>135</v>
      </c>
      <c r="G216" s="6">
        <v>1053</v>
      </c>
    </row>
    <row r="217" spans="1:11">
      <c r="A217" s="22">
        <v>54</v>
      </c>
      <c r="B217" s="4" t="s">
        <v>7</v>
      </c>
      <c r="C217" s="4" t="s">
        <v>15</v>
      </c>
      <c r="D217" s="4" t="s">
        <v>12</v>
      </c>
      <c r="E217" s="4" t="s">
        <v>16</v>
      </c>
      <c r="F217" s="4">
        <v>136</v>
      </c>
      <c r="G217" s="5">
        <v>1024.08</v>
      </c>
    </row>
    <row r="218" spans="1:11">
      <c r="A218" s="22">
        <v>55</v>
      </c>
      <c r="B218" s="4" t="s">
        <v>7</v>
      </c>
      <c r="C218" s="4" t="s">
        <v>15</v>
      </c>
      <c r="D218" s="4" t="s">
        <v>12</v>
      </c>
      <c r="E218" s="4" t="s">
        <v>16</v>
      </c>
      <c r="F218" s="4">
        <v>143</v>
      </c>
      <c r="G218" s="5">
        <v>861.4319999999999</v>
      </c>
    </row>
    <row r="219" spans="1:11">
      <c r="A219" s="22">
        <v>59</v>
      </c>
      <c r="B219" s="4" t="s">
        <v>7</v>
      </c>
      <c r="C219" s="4" t="s">
        <v>15</v>
      </c>
      <c r="D219" s="4" t="s">
        <v>12</v>
      </c>
      <c r="E219" s="4" t="s">
        <v>16</v>
      </c>
      <c r="F219" s="4">
        <v>153</v>
      </c>
      <c r="G219" s="5">
        <v>1228.896</v>
      </c>
    </row>
    <row r="220" spans="1:11">
      <c r="A220" s="22">
        <v>60</v>
      </c>
      <c r="B220" s="4" t="s">
        <v>7</v>
      </c>
      <c r="C220" s="4" t="s">
        <v>15</v>
      </c>
      <c r="D220" s="4" t="s">
        <v>12</v>
      </c>
      <c r="E220" s="4" t="s">
        <v>16</v>
      </c>
      <c r="F220" s="6">
        <v>156</v>
      </c>
      <c r="G220" s="6">
        <v>1025</v>
      </c>
    </row>
    <row r="221" spans="1:11">
      <c r="A221" s="22">
        <v>63</v>
      </c>
      <c r="B221" s="4" t="s">
        <v>7</v>
      </c>
      <c r="C221" s="4" t="s">
        <v>15</v>
      </c>
      <c r="D221" s="4" t="s">
        <v>12</v>
      </c>
      <c r="E221" s="4" t="s">
        <v>16</v>
      </c>
      <c r="F221" s="4">
        <v>162</v>
      </c>
      <c r="G221" s="5">
        <v>1305</v>
      </c>
    </row>
    <row r="222" spans="1:11">
      <c r="A222" s="22">
        <v>73</v>
      </c>
      <c r="B222" s="4" t="s">
        <v>7</v>
      </c>
      <c r="C222" s="4" t="s">
        <v>15</v>
      </c>
      <c r="D222" s="4" t="s">
        <v>12</v>
      </c>
      <c r="E222" s="4" t="s">
        <v>16</v>
      </c>
      <c r="F222" s="4">
        <v>193</v>
      </c>
      <c r="G222" s="5">
        <v>734</v>
      </c>
    </row>
    <row r="223" spans="1:11">
      <c r="A223" s="19"/>
      <c r="B223" s="19"/>
    </row>
    <row r="224" spans="1:11" ht="32">
      <c r="A224" s="19" t="s">
        <v>28</v>
      </c>
      <c r="B224" s="19"/>
    </row>
    <row r="225" spans="1:11" ht="20">
      <c r="A225" s="13" t="s">
        <v>29</v>
      </c>
    </row>
    <row r="226" spans="1:11" ht="17">
      <c r="A226" s="14" t="s">
        <v>30</v>
      </c>
      <c r="B226" s="14" t="s">
        <v>6</v>
      </c>
      <c r="C226" s="14"/>
      <c r="D226" s="14"/>
      <c r="E226" s="14"/>
      <c r="F226" s="14"/>
      <c r="G226" s="14"/>
    </row>
    <row r="227" spans="1:11" ht="17">
      <c r="A227" s="14">
        <v>30</v>
      </c>
      <c r="B227" s="14">
        <v>734</v>
      </c>
      <c r="C227" s="14"/>
      <c r="D227" s="14"/>
      <c r="E227" s="14"/>
      <c r="F227" s="14"/>
      <c r="G227" s="14"/>
    </row>
    <row r="228" spans="1:11" ht="17">
      <c r="A228" s="16"/>
    </row>
    <row r="229" spans="1:11">
      <c r="A229" s="19"/>
      <c r="B229" s="19"/>
    </row>
    <row r="230" spans="1:11" ht="17">
      <c r="A230" s="1" t="s">
        <v>0</v>
      </c>
      <c r="B230" s="8" t="s">
        <v>1</v>
      </c>
      <c r="C230" s="7" t="s">
        <v>2</v>
      </c>
      <c r="D230" s="7" t="s">
        <v>3</v>
      </c>
      <c r="E230" s="9" t="s">
        <v>4</v>
      </c>
      <c r="F230" s="2" t="s">
        <v>5</v>
      </c>
      <c r="G230" s="2" t="s">
        <v>6</v>
      </c>
      <c r="H230" s="14"/>
      <c r="I230" s="14"/>
      <c r="J230" s="14"/>
      <c r="K230" s="14"/>
    </row>
    <row r="231" spans="1:11">
      <c r="A231" s="4">
        <v>7</v>
      </c>
      <c r="B231" s="4" t="s">
        <v>7</v>
      </c>
      <c r="C231" s="4" t="s">
        <v>15</v>
      </c>
      <c r="D231" s="4" t="s">
        <v>12</v>
      </c>
      <c r="E231" s="4" t="s">
        <v>16</v>
      </c>
      <c r="F231" s="4">
        <v>52</v>
      </c>
      <c r="G231" s="5">
        <v>274.09199999999998</v>
      </c>
    </row>
    <row r="232" spans="1:11">
      <c r="A232" s="4">
        <v>8</v>
      </c>
      <c r="B232" s="4" t="s">
        <v>7</v>
      </c>
      <c r="C232" s="4" t="s">
        <v>15</v>
      </c>
      <c r="D232" s="4" t="s">
        <v>12</v>
      </c>
      <c r="E232" s="4" t="s">
        <v>16</v>
      </c>
      <c r="F232" s="4">
        <v>61</v>
      </c>
      <c r="G232" s="5">
        <v>336.84199999999998</v>
      </c>
    </row>
    <row r="233" spans="1:11">
      <c r="A233" s="4">
        <v>10</v>
      </c>
      <c r="B233" s="4" t="s">
        <v>7</v>
      </c>
      <c r="C233" s="4" t="s">
        <v>15</v>
      </c>
      <c r="D233" s="4" t="s">
        <v>12</v>
      </c>
      <c r="E233" s="4" t="s">
        <v>16</v>
      </c>
      <c r="F233" s="4">
        <v>68</v>
      </c>
      <c r="G233" s="5">
        <v>512.04</v>
      </c>
    </row>
    <row r="234" spans="1:11">
      <c r="A234" s="4">
        <v>12</v>
      </c>
      <c r="B234" s="4" t="s">
        <v>7</v>
      </c>
      <c r="C234" s="4" t="s">
        <v>15</v>
      </c>
      <c r="D234" s="4" t="s">
        <v>12</v>
      </c>
      <c r="E234" s="4" t="s">
        <v>16</v>
      </c>
      <c r="F234" s="4">
        <v>70</v>
      </c>
      <c r="G234" s="5">
        <v>379.512</v>
      </c>
    </row>
    <row r="235" spans="1:11">
      <c r="A235" s="4">
        <v>13</v>
      </c>
      <c r="B235" s="4" t="s">
        <v>7</v>
      </c>
      <c r="C235" s="4" t="s">
        <v>15</v>
      </c>
      <c r="D235" s="4" t="s">
        <v>12</v>
      </c>
      <c r="E235" s="4" t="s">
        <v>16</v>
      </c>
      <c r="F235" s="4">
        <v>72</v>
      </c>
      <c r="G235" s="5">
        <v>397.58399999999995</v>
      </c>
    </row>
    <row r="236" spans="1:11">
      <c r="A236" s="4">
        <v>14</v>
      </c>
      <c r="B236" s="4" t="s">
        <v>7</v>
      </c>
      <c r="C236" s="4" t="s">
        <v>15</v>
      </c>
      <c r="D236" s="4" t="s">
        <v>12</v>
      </c>
      <c r="E236" s="4" t="s">
        <v>16</v>
      </c>
      <c r="F236" s="4">
        <v>73</v>
      </c>
      <c r="G236" s="5">
        <v>659.62799999999993</v>
      </c>
    </row>
    <row r="237" spans="1:11">
      <c r="A237" s="4">
        <v>15</v>
      </c>
      <c r="B237" s="4" t="s">
        <v>7</v>
      </c>
      <c r="C237" s="4" t="s">
        <v>15</v>
      </c>
      <c r="D237" s="4" t="s">
        <v>12</v>
      </c>
      <c r="E237" s="4" t="s">
        <v>16</v>
      </c>
      <c r="F237" s="4">
        <v>74</v>
      </c>
      <c r="G237" s="5">
        <v>482.92399999999998</v>
      </c>
    </row>
    <row r="238" spans="1:11">
      <c r="A238" s="4">
        <v>19</v>
      </c>
      <c r="B238" s="4" t="s">
        <v>7</v>
      </c>
      <c r="C238" s="4" t="s">
        <v>15</v>
      </c>
      <c r="D238" s="4" t="s">
        <v>12</v>
      </c>
      <c r="E238" s="4" t="s">
        <v>16</v>
      </c>
      <c r="F238" s="4">
        <v>79</v>
      </c>
      <c r="G238" s="5">
        <v>475.89599999999996</v>
      </c>
    </row>
    <row r="239" spans="1:11">
      <c r="A239" s="4">
        <v>23</v>
      </c>
      <c r="B239" s="4" t="s">
        <v>7</v>
      </c>
      <c r="C239" s="4" t="s">
        <v>15</v>
      </c>
      <c r="D239" s="4" t="s">
        <v>12</v>
      </c>
      <c r="E239" s="4" t="s">
        <v>16</v>
      </c>
      <c r="F239" s="4">
        <v>81</v>
      </c>
      <c r="G239" s="5">
        <v>691.25399999999991</v>
      </c>
    </row>
    <row r="240" spans="1:11">
      <c r="A240" s="4">
        <v>24</v>
      </c>
      <c r="B240" s="4" t="s">
        <v>7</v>
      </c>
      <c r="C240" s="4" t="s">
        <v>15</v>
      </c>
      <c r="D240" s="4" t="s">
        <v>12</v>
      </c>
      <c r="E240" s="4" t="s">
        <v>16</v>
      </c>
      <c r="F240" s="4">
        <v>83</v>
      </c>
      <c r="G240" s="5">
        <v>466.6592</v>
      </c>
    </row>
    <row r="241" spans="1:11">
      <c r="A241" s="4">
        <v>26</v>
      </c>
      <c r="B241" s="4" t="s">
        <v>7</v>
      </c>
      <c r="C241" s="4" t="s">
        <v>15</v>
      </c>
      <c r="D241" s="4" t="s">
        <v>12</v>
      </c>
      <c r="E241" s="4" t="s">
        <v>16</v>
      </c>
      <c r="F241" s="4">
        <v>84</v>
      </c>
      <c r="G241" s="5">
        <v>421.67999999999995</v>
      </c>
    </row>
    <row r="242" spans="1:11">
      <c r="A242" s="4">
        <v>27</v>
      </c>
      <c r="B242" s="4" t="s">
        <v>7</v>
      </c>
      <c r="C242" s="4" t="s">
        <v>15</v>
      </c>
      <c r="D242" s="4" t="s">
        <v>12</v>
      </c>
      <c r="E242" s="4" t="s">
        <v>16</v>
      </c>
      <c r="F242" s="4">
        <v>85</v>
      </c>
      <c r="G242" s="5">
        <v>725.39</v>
      </c>
    </row>
    <row r="243" spans="1:11">
      <c r="A243" s="4">
        <v>30</v>
      </c>
      <c r="B243" s="4" t="s">
        <v>7</v>
      </c>
      <c r="C243" s="4" t="s">
        <v>15</v>
      </c>
      <c r="D243" s="4" t="s">
        <v>12</v>
      </c>
      <c r="E243" s="4" t="s">
        <v>16</v>
      </c>
      <c r="F243" s="4">
        <v>90</v>
      </c>
      <c r="G243" s="5">
        <v>406.61999999999995</v>
      </c>
    </row>
    <row r="244" spans="1:11">
      <c r="A244" s="4">
        <v>32</v>
      </c>
      <c r="B244" s="4" t="s">
        <v>7</v>
      </c>
      <c r="C244" s="4" t="s">
        <v>15</v>
      </c>
      <c r="D244" s="4" t="s">
        <v>12</v>
      </c>
      <c r="E244" s="4" t="s">
        <v>16</v>
      </c>
      <c r="F244" s="4">
        <v>92</v>
      </c>
      <c r="G244" s="5">
        <v>831.31200000000001</v>
      </c>
    </row>
    <row r="245" spans="1:11">
      <c r="A245" s="4">
        <v>33</v>
      </c>
      <c r="B245" s="4" t="s">
        <v>7</v>
      </c>
      <c r="C245" s="4" t="s">
        <v>15</v>
      </c>
      <c r="D245" s="4" t="s">
        <v>12</v>
      </c>
      <c r="E245" s="4" t="s">
        <v>16</v>
      </c>
      <c r="F245" s="4">
        <v>100</v>
      </c>
      <c r="G245" s="5">
        <v>702.79999999999984</v>
      </c>
    </row>
    <row r="246" spans="1:11">
      <c r="A246" s="22">
        <v>35</v>
      </c>
      <c r="B246" s="4" t="s">
        <v>7</v>
      </c>
      <c r="C246" s="4" t="s">
        <v>15</v>
      </c>
      <c r="D246" s="4" t="s">
        <v>12</v>
      </c>
      <c r="E246" s="4" t="s">
        <v>16</v>
      </c>
      <c r="F246" s="4">
        <v>102</v>
      </c>
      <c r="G246" s="5">
        <v>921.67199999999991</v>
      </c>
    </row>
    <row r="247" spans="1:11">
      <c r="A247" s="22">
        <v>37</v>
      </c>
      <c r="B247" s="4" t="s">
        <v>7</v>
      </c>
      <c r="C247" s="4" t="s">
        <v>15</v>
      </c>
      <c r="D247" s="4" t="s">
        <v>12</v>
      </c>
      <c r="E247" s="4" t="s">
        <v>16</v>
      </c>
      <c r="F247" s="4">
        <v>108</v>
      </c>
      <c r="G247" s="5">
        <v>650.59199999999998</v>
      </c>
    </row>
    <row r="248" spans="1:11">
      <c r="A248" s="22">
        <v>40</v>
      </c>
      <c r="B248" s="4" t="s">
        <v>7</v>
      </c>
      <c r="C248" s="4" t="s">
        <v>15</v>
      </c>
      <c r="D248" s="4" t="s">
        <v>12</v>
      </c>
      <c r="E248" s="4" t="s">
        <v>16</v>
      </c>
      <c r="F248" s="4">
        <v>114</v>
      </c>
      <c r="G248" s="5">
        <v>502</v>
      </c>
    </row>
    <row r="249" spans="1:11" ht="17">
      <c r="A249" s="22">
        <v>43</v>
      </c>
      <c r="B249" s="4" t="s">
        <v>7</v>
      </c>
      <c r="C249" s="4" t="s">
        <v>15</v>
      </c>
      <c r="D249" s="4" t="s">
        <v>12</v>
      </c>
      <c r="E249" s="4" t="s">
        <v>16</v>
      </c>
      <c r="F249" s="4">
        <v>115</v>
      </c>
      <c r="G249" s="5">
        <v>692.75999999999988</v>
      </c>
      <c r="K249" s="14"/>
    </row>
    <row r="250" spans="1:11" ht="17">
      <c r="A250" s="22">
        <v>45</v>
      </c>
      <c r="B250" s="4" t="s">
        <v>7</v>
      </c>
      <c r="C250" s="4" t="s">
        <v>15</v>
      </c>
      <c r="D250" s="4" t="s">
        <v>12</v>
      </c>
      <c r="E250" s="4" t="s">
        <v>16</v>
      </c>
      <c r="F250" s="4">
        <v>117</v>
      </c>
      <c r="G250" s="5">
        <v>728.30159999999989</v>
      </c>
      <c r="K250" s="14"/>
    </row>
    <row r="251" spans="1:11">
      <c r="A251" s="22">
        <v>46</v>
      </c>
      <c r="B251" s="4" t="s">
        <v>7</v>
      </c>
      <c r="C251" s="4" t="s">
        <v>15</v>
      </c>
      <c r="D251" s="4" t="s">
        <v>12</v>
      </c>
      <c r="E251" s="4" t="s">
        <v>16</v>
      </c>
      <c r="F251" s="4">
        <v>117</v>
      </c>
      <c r="G251" s="5">
        <v>998.47799999999984</v>
      </c>
    </row>
    <row r="252" spans="1:11">
      <c r="A252" s="22">
        <v>49</v>
      </c>
      <c r="B252" s="4" t="s">
        <v>7</v>
      </c>
      <c r="C252" s="4" t="s">
        <v>15</v>
      </c>
      <c r="D252" s="4" t="s">
        <v>12</v>
      </c>
      <c r="E252" s="4" t="s">
        <v>16</v>
      </c>
      <c r="F252" s="4">
        <v>125</v>
      </c>
      <c r="G252" s="5">
        <v>1004</v>
      </c>
    </row>
    <row r="253" spans="1:11">
      <c r="A253" s="22">
        <v>51</v>
      </c>
      <c r="B253" s="4" t="s">
        <v>7</v>
      </c>
      <c r="C253" s="4" t="s">
        <v>15</v>
      </c>
      <c r="D253" s="4" t="s">
        <v>12</v>
      </c>
      <c r="E253" s="4" t="s">
        <v>16</v>
      </c>
      <c r="F253" s="4">
        <v>127</v>
      </c>
      <c r="G253" s="5">
        <v>1020.064</v>
      </c>
    </row>
    <row r="254" spans="1:11">
      <c r="A254" s="22">
        <v>52</v>
      </c>
      <c r="B254" s="4" t="s">
        <v>7</v>
      </c>
      <c r="C254" s="4" t="s">
        <v>15</v>
      </c>
      <c r="D254" s="4" t="s">
        <v>12</v>
      </c>
      <c r="E254" s="4" t="s">
        <v>16</v>
      </c>
      <c r="F254" s="6">
        <v>135</v>
      </c>
      <c r="G254" s="6">
        <v>1053</v>
      </c>
    </row>
    <row r="255" spans="1:11">
      <c r="A255" s="22">
        <v>54</v>
      </c>
      <c r="B255" s="4" t="s">
        <v>7</v>
      </c>
      <c r="C255" s="4" t="s">
        <v>15</v>
      </c>
      <c r="D255" s="4" t="s">
        <v>12</v>
      </c>
      <c r="E255" s="4" t="s">
        <v>16</v>
      </c>
      <c r="F255" s="4">
        <v>136</v>
      </c>
      <c r="G255" s="5">
        <v>1024.08</v>
      </c>
    </row>
    <row r="256" spans="1:11">
      <c r="A256" s="22">
        <v>55</v>
      </c>
      <c r="B256" s="4" t="s">
        <v>7</v>
      </c>
      <c r="C256" s="4" t="s">
        <v>15</v>
      </c>
      <c r="D256" s="4" t="s">
        <v>12</v>
      </c>
      <c r="E256" s="4" t="s">
        <v>16</v>
      </c>
      <c r="F256" s="4">
        <v>143</v>
      </c>
      <c r="G256" s="5">
        <v>861.4319999999999</v>
      </c>
    </row>
    <row r="257" spans="1:8">
      <c r="A257" s="22">
        <v>59</v>
      </c>
      <c r="B257" s="4" t="s">
        <v>7</v>
      </c>
      <c r="C257" s="4" t="s">
        <v>15</v>
      </c>
      <c r="D257" s="4" t="s">
        <v>12</v>
      </c>
      <c r="E257" s="4" t="s">
        <v>16</v>
      </c>
      <c r="F257" s="4">
        <v>153</v>
      </c>
      <c r="G257" s="5">
        <v>1228.896</v>
      </c>
    </row>
    <row r="258" spans="1:8">
      <c r="A258" s="22">
        <v>60</v>
      </c>
      <c r="B258" s="4" t="s">
        <v>7</v>
      </c>
      <c r="C258" s="4" t="s">
        <v>15</v>
      </c>
      <c r="D258" s="4" t="s">
        <v>12</v>
      </c>
      <c r="E258" s="4" t="s">
        <v>16</v>
      </c>
      <c r="F258" s="6">
        <v>156</v>
      </c>
      <c r="G258" s="6">
        <v>1025</v>
      </c>
    </row>
    <row r="259" spans="1:8">
      <c r="A259" s="22">
        <v>63</v>
      </c>
      <c r="B259" s="4" t="s">
        <v>7</v>
      </c>
      <c r="C259" s="4" t="s">
        <v>15</v>
      </c>
      <c r="D259" s="4" t="s">
        <v>12</v>
      </c>
      <c r="E259" s="4" t="s">
        <v>16</v>
      </c>
      <c r="F259" s="4">
        <v>162</v>
      </c>
      <c r="G259" s="5">
        <v>1305</v>
      </c>
    </row>
    <row r="260" spans="1:8">
      <c r="A260" s="22">
        <v>73</v>
      </c>
      <c r="B260" s="4" t="s">
        <v>7</v>
      </c>
      <c r="C260" s="4" t="s">
        <v>15</v>
      </c>
      <c r="D260" s="4" t="s">
        <v>12</v>
      </c>
      <c r="E260" s="4" t="s">
        <v>16</v>
      </c>
      <c r="F260" s="4">
        <v>193</v>
      </c>
      <c r="G260" s="5">
        <v>734</v>
      </c>
      <c r="H260" s="21" t="s">
        <v>31</v>
      </c>
    </row>
    <row r="261" spans="1:8">
      <c r="A261" s="19"/>
      <c r="B261" s="19"/>
    </row>
    <row r="262" spans="1:8">
      <c r="A262" s="1" t="s">
        <v>0</v>
      </c>
      <c r="B262" s="8" t="s">
        <v>1</v>
      </c>
      <c r="C262" s="7" t="s">
        <v>2</v>
      </c>
      <c r="D262" s="7" t="s">
        <v>3</v>
      </c>
      <c r="E262" s="9" t="s">
        <v>4</v>
      </c>
      <c r="F262" s="2" t="s">
        <v>5</v>
      </c>
      <c r="G262" s="2" t="s">
        <v>6</v>
      </c>
    </row>
    <row r="263" spans="1:8">
      <c r="A263" s="4">
        <v>7</v>
      </c>
      <c r="B263" s="4" t="s">
        <v>7</v>
      </c>
      <c r="C263" s="4" t="s">
        <v>15</v>
      </c>
      <c r="D263" s="4" t="s">
        <v>12</v>
      </c>
      <c r="E263" s="4" t="s">
        <v>16</v>
      </c>
      <c r="F263" s="4">
        <v>52</v>
      </c>
      <c r="G263" s="5">
        <v>274.09199999999998</v>
      </c>
    </row>
    <row r="264" spans="1:8">
      <c r="A264" s="4">
        <v>8</v>
      </c>
      <c r="B264" s="4" t="s">
        <v>7</v>
      </c>
      <c r="C264" s="4" t="s">
        <v>15</v>
      </c>
      <c r="D264" s="4" t="s">
        <v>12</v>
      </c>
      <c r="E264" s="4" t="s">
        <v>16</v>
      </c>
      <c r="F264" s="4">
        <v>61</v>
      </c>
      <c r="G264" s="5">
        <v>336.84199999999998</v>
      </c>
    </row>
    <row r="265" spans="1:8">
      <c r="A265" s="4">
        <v>10</v>
      </c>
      <c r="B265" s="4" t="s">
        <v>7</v>
      </c>
      <c r="C265" s="4" t="s">
        <v>15</v>
      </c>
      <c r="D265" s="4" t="s">
        <v>12</v>
      </c>
      <c r="E265" s="4" t="s">
        <v>16</v>
      </c>
      <c r="F265" s="4">
        <v>68</v>
      </c>
      <c r="G265" s="5">
        <v>512.04</v>
      </c>
    </row>
    <row r="266" spans="1:8">
      <c r="A266" s="4">
        <v>12</v>
      </c>
      <c r="B266" s="4" t="s">
        <v>7</v>
      </c>
      <c r="C266" s="4" t="s">
        <v>15</v>
      </c>
      <c r="D266" s="4" t="s">
        <v>12</v>
      </c>
      <c r="E266" s="4" t="s">
        <v>16</v>
      </c>
      <c r="F266" s="4">
        <v>70</v>
      </c>
      <c r="G266" s="5">
        <v>379.512</v>
      </c>
    </row>
    <row r="267" spans="1:8">
      <c r="A267" s="4">
        <v>13</v>
      </c>
      <c r="B267" s="4" t="s">
        <v>7</v>
      </c>
      <c r="C267" s="4" t="s">
        <v>15</v>
      </c>
      <c r="D267" s="4" t="s">
        <v>12</v>
      </c>
      <c r="E267" s="4" t="s">
        <v>16</v>
      </c>
      <c r="F267" s="4">
        <v>72</v>
      </c>
      <c r="G267" s="5">
        <v>397.58399999999995</v>
      </c>
    </row>
    <row r="268" spans="1:8">
      <c r="A268" s="4">
        <v>14</v>
      </c>
      <c r="B268" s="4" t="s">
        <v>7</v>
      </c>
      <c r="C268" s="4" t="s">
        <v>15</v>
      </c>
      <c r="D268" s="4" t="s">
        <v>12</v>
      </c>
      <c r="E268" s="4" t="s">
        <v>16</v>
      </c>
      <c r="F268" s="4">
        <v>73</v>
      </c>
      <c r="G268" s="5">
        <v>659.62799999999993</v>
      </c>
    </row>
    <row r="269" spans="1:8">
      <c r="A269" s="4">
        <v>15</v>
      </c>
      <c r="B269" s="4" t="s">
        <v>7</v>
      </c>
      <c r="C269" s="4" t="s">
        <v>15</v>
      </c>
      <c r="D269" s="4" t="s">
        <v>12</v>
      </c>
      <c r="E269" s="4" t="s">
        <v>16</v>
      </c>
      <c r="F269" s="4">
        <v>74</v>
      </c>
      <c r="G269" s="5">
        <v>482.92399999999998</v>
      </c>
    </row>
    <row r="270" spans="1:8">
      <c r="A270" s="4">
        <v>19</v>
      </c>
      <c r="B270" s="4" t="s">
        <v>7</v>
      </c>
      <c r="C270" s="4" t="s">
        <v>15</v>
      </c>
      <c r="D270" s="4" t="s">
        <v>12</v>
      </c>
      <c r="E270" s="4" t="s">
        <v>16</v>
      </c>
      <c r="F270" s="4">
        <v>79</v>
      </c>
      <c r="G270" s="5">
        <v>475.89599999999996</v>
      </c>
    </row>
    <row r="271" spans="1:8">
      <c r="A271" s="4">
        <v>23</v>
      </c>
      <c r="B271" s="4" t="s">
        <v>7</v>
      </c>
      <c r="C271" s="4" t="s">
        <v>15</v>
      </c>
      <c r="D271" s="4" t="s">
        <v>12</v>
      </c>
      <c r="E271" s="4" t="s">
        <v>16</v>
      </c>
      <c r="F271" s="4">
        <v>81</v>
      </c>
      <c r="G271" s="5">
        <v>691.25399999999991</v>
      </c>
    </row>
    <row r="272" spans="1:8">
      <c r="A272" s="4">
        <v>24</v>
      </c>
      <c r="B272" s="4" t="s">
        <v>7</v>
      </c>
      <c r="C272" s="4" t="s">
        <v>15</v>
      </c>
      <c r="D272" s="4" t="s">
        <v>12</v>
      </c>
      <c r="E272" s="4" t="s">
        <v>16</v>
      </c>
      <c r="F272" s="4">
        <v>83</v>
      </c>
      <c r="G272" s="5">
        <v>466.6592</v>
      </c>
    </row>
    <row r="273" spans="1:7">
      <c r="A273" s="4">
        <v>26</v>
      </c>
      <c r="B273" s="4" t="s">
        <v>7</v>
      </c>
      <c r="C273" s="4" t="s">
        <v>15</v>
      </c>
      <c r="D273" s="4" t="s">
        <v>12</v>
      </c>
      <c r="E273" s="4" t="s">
        <v>16</v>
      </c>
      <c r="F273" s="4">
        <v>84</v>
      </c>
      <c r="G273" s="5">
        <v>421.67999999999995</v>
      </c>
    </row>
    <row r="274" spans="1:7">
      <c r="A274" s="4">
        <v>27</v>
      </c>
      <c r="B274" s="4" t="s">
        <v>7</v>
      </c>
      <c r="C274" s="4" t="s">
        <v>15</v>
      </c>
      <c r="D274" s="4" t="s">
        <v>12</v>
      </c>
      <c r="E274" s="4" t="s">
        <v>16</v>
      </c>
      <c r="F274" s="4">
        <v>85</v>
      </c>
      <c r="G274" s="5">
        <v>725.39</v>
      </c>
    </row>
    <row r="275" spans="1:7">
      <c r="A275" s="4">
        <v>30</v>
      </c>
      <c r="B275" s="4" t="s">
        <v>7</v>
      </c>
      <c r="C275" s="4" t="s">
        <v>15</v>
      </c>
      <c r="D275" s="4" t="s">
        <v>12</v>
      </c>
      <c r="E275" s="4" t="s">
        <v>16</v>
      </c>
      <c r="F275" s="4">
        <v>90</v>
      </c>
      <c r="G275" s="5">
        <v>406.61999999999995</v>
      </c>
    </row>
    <row r="276" spans="1:7">
      <c r="A276" s="4">
        <v>32</v>
      </c>
      <c r="B276" s="4" t="s">
        <v>7</v>
      </c>
      <c r="C276" s="4" t="s">
        <v>15</v>
      </c>
      <c r="D276" s="4" t="s">
        <v>12</v>
      </c>
      <c r="E276" s="4" t="s">
        <v>16</v>
      </c>
      <c r="F276" s="4">
        <v>92</v>
      </c>
      <c r="G276" s="5">
        <v>831.31200000000001</v>
      </c>
    </row>
    <row r="277" spans="1:7">
      <c r="A277" s="4">
        <v>33</v>
      </c>
      <c r="B277" s="4" t="s">
        <v>7</v>
      </c>
      <c r="C277" s="4" t="s">
        <v>15</v>
      </c>
      <c r="D277" s="4" t="s">
        <v>12</v>
      </c>
      <c r="E277" s="4" t="s">
        <v>16</v>
      </c>
      <c r="F277" s="4">
        <v>100</v>
      </c>
      <c r="G277" s="5">
        <v>702.79999999999984</v>
      </c>
    </row>
    <row r="278" spans="1:7">
      <c r="A278" s="22">
        <v>35</v>
      </c>
      <c r="B278" s="4" t="s">
        <v>7</v>
      </c>
      <c r="C278" s="4" t="s">
        <v>15</v>
      </c>
      <c r="D278" s="4" t="s">
        <v>12</v>
      </c>
      <c r="E278" s="4" t="s">
        <v>16</v>
      </c>
      <c r="F278" s="4">
        <v>102</v>
      </c>
      <c r="G278" s="5">
        <v>921.67199999999991</v>
      </c>
    </row>
    <row r="279" spans="1:7">
      <c r="A279" s="22">
        <v>37</v>
      </c>
      <c r="B279" s="4" t="s">
        <v>7</v>
      </c>
      <c r="C279" s="4" t="s">
        <v>15</v>
      </c>
      <c r="D279" s="4" t="s">
        <v>12</v>
      </c>
      <c r="E279" s="4" t="s">
        <v>16</v>
      </c>
      <c r="F279" s="4">
        <v>108</v>
      </c>
      <c r="G279" s="5">
        <v>650.59199999999998</v>
      </c>
    </row>
    <row r="280" spans="1:7">
      <c r="A280" s="22">
        <v>40</v>
      </c>
      <c r="B280" s="4" t="s">
        <v>7</v>
      </c>
      <c r="C280" s="4" t="s">
        <v>15</v>
      </c>
      <c r="D280" s="4" t="s">
        <v>12</v>
      </c>
      <c r="E280" s="4" t="s">
        <v>16</v>
      </c>
      <c r="F280" s="4">
        <v>114</v>
      </c>
      <c r="G280" s="5">
        <v>502</v>
      </c>
    </row>
    <row r="281" spans="1:7">
      <c r="A281" s="22">
        <v>43</v>
      </c>
      <c r="B281" s="4" t="s">
        <v>7</v>
      </c>
      <c r="C281" s="4" t="s">
        <v>15</v>
      </c>
      <c r="D281" s="4" t="s">
        <v>12</v>
      </c>
      <c r="E281" s="4" t="s">
        <v>16</v>
      </c>
      <c r="F281" s="4">
        <v>115</v>
      </c>
      <c r="G281" s="5">
        <v>692.75999999999988</v>
      </c>
    </row>
    <row r="282" spans="1:7">
      <c r="A282" s="22">
        <v>45</v>
      </c>
      <c r="B282" s="4" t="s">
        <v>7</v>
      </c>
      <c r="C282" s="4" t="s">
        <v>15</v>
      </c>
      <c r="D282" s="4" t="s">
        <v>12</v>
      </c>
      <c r="E282" s="4" t="s">
        <v>16</v>
      </c>
      <c r="F282" s="4">
        <v>117</v>
      </c>
      <c r="G282" s="5">
        <v>728.30159999999989</v>
      </c>
    </row>
    <row r="283" spans="1:7">
      <c r="A283" s="22">
        <v>46</v>
      </c>
      <c r="B283" s="4" t="s">
        <v>7</v>
      </c>
      <c r="C283" s="4" t="s">
        <v>15</v>
      </c>
      <c r="D283" s="4" t="s">
        <v>12</v>
      </c>
      <c r="E283" s="4" t="s">
        <v>16</v>
      </c>
      <c r="F283" s="4">
        <v>117</v>
      </c>
      <c r="G283" s="5">
        <v>998.47799999999984</v>
      </c>
    </row>
    <row r="284" spans="1:7">
      <c r="A284" s="22">
        <v>49</v>
      </c>
      <c r="B284" s="4" t="s">
        <v>7</v>
      </c>
      <c r="C284" s="4" t="s">
        <v>15</v>
      </c>
      <c r="D284" s="4" t="s">
        <v>12</v>
      </c>
      <c r="E284" s="4" t="s">
        <v>16</v>
      </c>
      <c r="F284" s="4">
        <v>125</v>
      </c>
      <c r="G284" s="5">
        <v>1004</v>
      </c>
    </row>
    <row r="285" spans="1:7">
      <c r="A285" s="22">
        <v>51</v>
      </c>
      <c r="B285" s="4" t="s">
        <v>7</v>
      </c>
      <c r="C285" s="4" t="s">
        <v>15</v>
      </c>
      <c r="D285" s="4" t="s">
        <v>12</v>
      </c>
      <c r="E285" s="4" t="s">
        <v>16</v>
      </c>
      <c r="F285" s="4">
        <v>127</v>
      </c>
      <c r="G285" s="5">
        <v>1020.064</v>
      </c>
    </row>
    <row r="286" spans="1:7">
      <c r="A286" s="22">
        <v>52</v>
      </c>
      <c r="B286" s="4" t="s">
        <v>7</v>
      </c>
      <c r="C286" s="4" t="s">
        <v>15</v>
      </c>
      <c r="D286" s="4" t="s">
        <v>12</v>
      </c>
      <c r="E286" s="4" t="s">
        <v>16</v>
      </c>
      <c r="F286" s="6">
        <v>135</v>
      </c>
      <c r="G286" s="6">
        <v>1053</v>
      </c>
    </row>
    <row r="287" spans="1:7">
      <c r="A287" s="22">
        <v>54</v>
      </c>
      <c r="B287" s="4" t="s">
        <v>7</v>
      </c>
      <c r="C287" s="4" t="s">
        <v>15</v>
      </c>
      <c r="D287" s="4" t="s">
        <v>12</v>
      </c>
      <c r="E287" s="4" t="s">
        <v>16</v>
      </c>
      <c r="F287" s="4">
        <v>136</v>
      </c>
      <c r="G287" s="5">
        <v>1024.08</v>
      </c>
    </row>
    <row r="288" spans="1:7">
      <c r="A288" s="22">
        <v>55</v>
      </c>
      <c r="B288" s="4" t="s">
        <v>7</v>
      </c>
      <c r="C288" s="4" t="s">
        <v>15</v>
      </c>
      <c r="D288" s="4" t="s">
        <v>12</v>
      </c>
      <c r="E288" s="4" t="s">
        <v>16</v>
      </c>
      <c r="F288" s="4">
        <v>143</v>
      </c>
      <c r="G288" s="5">
        <v>861.4319999999999</v>
      </c>
    </row>
    <row r="289" spans="1:7">
      <c r="A289" s="22">
        <v>59</v>
      </c>
      <c r="B289" s="4" t="s">
        <v>7</v>
      </c>
      <c r="C289" s="4" t="s">
        <v>15</v>
      </c>
      <c r="D289" s="4" t="s">
        <v>12</v>
      </c>
      <c r="E289" s="4" t="s">
        <v>16</v>
      </c>
      <c r="F289" s="4">
        <v>153</v>
      </c>
      <c r="G289" s="5">
        <v>1228.896</v>
      </c>
    </row>
    <row r="290" spans="1:7">
      <c r="A290" s="22">
        <v>60</v>
      </c>
      <c r="B290" s="4" t="s">
        <v>7</v>
      </c>
      <c r="C290" s="4" t="s">
        <v>15</v>
      </c>
      <c r="D290" s="4" t="s">
        <v>12</v>
      </c>
      <c r="E290" s="4" t="s">
        <v>16</v>
      </c>
      <c r="F290" s="6">
        <v>156</v>
      </c>
      <c r="G290" s="6">
        <v>1025</v>
      </c>
    </row>
    <row r="291" spans="1:7">
      <c r="A291" s="22">
        <v>63</v>
      </c>
      <c r="B291" s="4" t="s">
        <v>7</v>
      </c>
      <c r="C291" s="4" t="s">
        <v>15</v>
      </c>
      <c r="D291" s="4" t="s">
        <v>12</v>
      </c>
      <c r="E291" s="4" t="s">
        <v>16</v>
      </c>
      <c r="F291" s="4">
        <v>162</v>
      </c>
      <c r="G291" s="5">
        <v>1305</v>
      </c>
    </row>
    <row r="292" spans="1:7">
      <c r="A292" s="19"/>
      <c r="B292" s="19"/>
    </row>
    <row r="293" spans="1:7" ht="32">
      <c r="A293" s="19" t="s">
        <v>28</v>
      </c>
      <c r="B293" s="19"/>
    </row>
    <row r="294" spans="1:7" ht="20">
      <c r="A294" s="13" t="s">
        <v>29</v>
      </c>
    </row>
    <row r="295" spans="1:7" ht="17">
      <c r="A295" s="14" t="s">
        <v>30</v>
      </c>
      <c r="B295" s="14" t="s">
        <v>6</v>
      </c>
      <c r="C295" s="14"/>
      <c r="D295" s="14"/>
      <c r="E295" s="14"/>
      <c r="F295" s="14"/>
    </row>
    <row r="296" spans="1:7" ht="17">
      <c r="A296" s="14">
        <v>18</v>
      </c>
      <c r="B296" s="14">
        <v>502</v>
      </c>
      <c r="C296" s="14"/>
      <c r="D296" s="14"/>
      <c r="E296" s="14"/>
      <c r="F296" s="14"/>
    </row>
    <row r="297" spans="1:7" ht="17">
      <c r="A297" s="16"/>
    </row>
    <row r="298" spans="1:7">
      <c r="A298" s="19"/>
      <c r="B298" s="19"/>
    </row>
    <row r="299" spans="1:7">
      <c r="A299" s="1" t="s">
        <v>0</v>
      </c>
      <c r="B299" s="8" t="s">
        <v>1</v>
      </c>
      <c r="C299" s="7" t="s">
        <v>2</v>
      </c>
      <c r="D299" s="7" t="s">
        <v>3</v>
      </c>
      <c r="E299" s="9" t="s">
        <v>4</v>
      </c>
      <c r="F299" s="2" t="s">
        <v>5</v>
      </c>
      <c r="G299" s="2" t="s">
        <v>6</v>
      </c>
    </row>
    <row r="300" spans="1:7">
      <c r="A300" s="4">
        <v>7</v>
      </c>
      <c r="B300" s="4" t="s">
        <v>7</v>
      </c>
      <c r="C300" s="4" t="s">
        <v>15</v>
      </c>
      <c r="D300" s="4" t="s">
        <v>12</v>
      </c>
      <c r="E300" s="4" t="s">
        <v>16</v>
      </c>
      <c r="F300" s="4">
        <v>52</v>
      </c>
      <c r="G300" s="5">
        <v>274.09199999999998</v>
      </c>
    </row>
    <row r="301" spans="1:7">
      <c r="A301" s="4">
        <v>8</v>
      </c>
      <c r="B301" s="4" t="s">
        <v>7</v>
      </c>
      <c r="C301" s="4" t="s">
        <v>15</v>
      </c>
      <c r="D301" s="4" t="s">
        <v>12</v>
      </c>
      <c r="E301" s="4" t="s">
        <v>16</v>
      </c>
      <c r="F301" s="4">
        <v>61</v>
      </c>
      <c r="G301" s="5">
        <v>336.84199999999998</v>
      </c>
    </row>
    <row r="302" spans="1:7">
      <c r="A302" s="4">
        <v>10</v>
      </c>
      <c r="B302" s="4" t="s">
        <v>7</v>
      </c>
      <c r="C302" s="4" t="s">
        <v>15</v>
      </c>
      <c r="D302" s="4" t="s">
        <v>12</v>
      </c>
      <c r="E302" s="4" t="s">
        <v>16</v>
      </c>
      <c r="F302" s="4">
        <v>68</v>
      </c>
      <c r="G302" s="5">
        <v>512.04</v>
      </c>
    </row>
    <row r="303" spans="1:7">
      <c r="A303" s="4">
        <v>12</v>
      </c>
      <c r="B303" s="4" t="s">
        <v>7</v>
      </c>
      <c r="C303" s="4" t="s">
        <v>15</v>
      </c>
      <c r="D303" s="4" t="s">
        <v>12</v>
      </c>
      <c r="E303" s="4" t="s">
        <v>16</v>
      </c>
      <c r="F303" s="4">
        <v>70</v>
      </c>
      <c r="G303" s="5">
        <v>379.512</v>
      </c>
    </row>
    <row r="304" spans="1:7">
      <c r="A304" s="4">
        <v>13</v>
      </c>
      <c r="B304" s="4" t="s">
        <v>7</v>
      </c>
      <c r="C304" s="4" t="s">
        <v>15</v>
      </c>
      <c r="D304" s="4" t="s">
        <v>12</v>
      </c>
      <c r="E304" s="4" t="s">
        <v>16</v>
      </c>
      <c r="F304" s="4">
        <v>72</v>
      </c>
      <c r="G304" s="5">
        <v>397.58399999999995</v>
      </c>
    </row>
    <row r="305" spans="1:8">
      <c r="A305" s="4">
        <v>14</v>
      </c>
      <c r="B305" s="4" t="s">
        <v>7</v>
      </c>
      <c r="C305" s="4" t="s">
        <v>15</v>
      </c>
      <c r="D305" s="4" t="s">
        <v>12</v>
      </c>
      <c r="E305" s="4" t="s">
        <v>16</v>
      </c>
      <c r="F305" s="4">
        <v>73</v>
      </c>
      <c r="G305" s="5">
        <v>659.62799999999993</v>
      </c>
    </row>
    <row r="306" spans="1:8">
      <c r="A306" s="4">
        <v>15</v>
      </c>
      <c r="B306" s="4" t="s">
        <v>7</v>
      </c>
      <c r="C306" s="4" t="s">
        <v>15</v>
      </c>
      <c r="D306" s="4" t="s">
        <v>12</v>
      </c>
      <c r="E306" s="4" t="s">
        <v>16</v>
      </c>
      <c r="F306" s="4">
        <v>74</v>
      </c>
      <c r="G306" s="5">
        <v>482.92399999999998</v>
      </c>
    </row>
    <row r="307" spans="1:8">
      <c r="A307" s="4">
        <v>19</v>
      </c>
      <c r="B307" s="4" t="s">
        <v>7</v>
      </c>
      <c r="C307" s="4" t="s">
        <v>15</v>
      </c>
      <c r="D307" s="4" t="s">
        <v>12</v>
      </c>
      <c r="E307" s="4" t="s">
        <v>16</v>
      </c>
      <c r="F307" s="4">
        <v>79</v>
      </c>
      <c r="G307" s="5">
        <v>475.89599999999996</v>
      </c>
    </row>
    <row r="308" spans="1:8">
      <c r="A308" s="4">
        <v>23</v>
      </c>
      <c r="B308" s="4" t="s">
        <v>7</v>
      </c>
      <c r="C308" s="4" t="s">
        <v>15</v>
      </c>
      <c r="D308" s="4" t="s">
        <v>12</v>
      </c>
      <c r="E308" s="4" t="s">
        <v>16</v>
      </c>
      <c r="F308" s="4">
        <v>81</v>
      </c>
      <c r="G308" s="5">
        <v>691.25399999999991</v>
      </c>
    </row>
    <row r="309" spans="1:8">
      <c r="A309" s="4">
        <v>24</v>
      </c>
      <c r="B309" s="4" t="s">
        <v>7</v>
      </c>
      <c r="C309" s="4" t="s">
        <v>15</v>
      </c>
      <c r="D309" s="4" t="s">
        <v>12</v>
      </c>
      <c r="E309" s="4" t="s">
        <v>16</v>
      </c>
      <c r="F309" s="4">
        <v>83</v>
      </c>
      <c r="G309" s="5">
        <v>466.6592</v>
      </c>
    </row>
    <row r="310" spans="1:8">
      <c r="A310" s="4">
        <v>26</v>
      </c>
      <c r="B310" s="4" t="s">
        <v>7</v>
      </c>
      <c r="C310" s="4" t="s">
        <v>15</v>
      </c>
      <c r="D310" s="4" t="s">
        <v>12</v>
      </c>
      <c r="E310" s="4" t="s">
        <v>16</v>
      </c>
      <c r="F310" s="4">
        <v>84</v>
      </c>
      <c r="G310" s="5">
        <v>421.67999999999995</v>
      </c>
    </row>
    <row r="311" spans="1:8">
      <c r="A311" s="4">
        <v>27</v>
      </c>
      <c r="B311" s="4" t="s">
        <v>7</v>
      </c>
      <c r="C311" s="4" t="s">
        <v>15</v>
      </c>
      <c r="D311" s="4" t="s">
        <v>12</v>
      </c>
      <c r="E311" s="4" t="s">
        <v>16</v>
      </c>
      <c r="F311" s="4">
        <v>85</v>
      </c>
      <c r="G311" s="5">
        <v>725.39</v>
      </c>
    </row>
    <row r="312" spans="1:8">
      <c r="A312" s="4">
        <v>30</v>
      </c>
      <c r="B312" s="4" t="s">
        <v>7</v>
      </c>
      <c r="C312" s="4" t="s">
        <v>15</v>
      </c>
      <c r="D312" s="4" t="s">
        <v>12</v>
      </c>
      <c r="E312" s="4" t="s">
        <v>16</v>
      </c>
      <c r="F312" s="4">
        <v>90</v>
      </c>
      <c r="G312" s="5">
        <v>406.61999999999995</v>
      </c>
    </row>
    <row r="313" spans="1:8">
      <c r="A313" s="4">
        <v>32</v>
      </c>
      <c r="B313" s="4" t="s">
        <v>7</v>
      </c>
      <c r="C313" s="4" t="s">
        <v>15</v>
      </c>
      <c r="D313" s="4" t="s">
        <v>12</v>
      </c>
      <c r="E313" s="4" t="s">
        <v>16</v>
      </c>
      <c r="F313" s="4">
        <v>92</v>
      </c>
      <c r="G313" s="5">
        <v>831.31200000000001</v>
      </c>
    </row>
    <row r="314" spans="1:8">
      <c r="A314" s="4">
        <v>33</v>
      </c>
      <c r="B314" s="4" t="s">
        <v>7</v>
      </c>
      <c r="C314" s="4" t="s">
        <v>15</v>
      </c>
      <c r="D314" s="4" t="s">
        <v>12</v>
      </c>
      <c r="E314" s="4" t="s">
        <v>16</v>
      </c>
      <c r="F314" s="4">
        <v>100</v>
      </c>
      <c r="G314" s="5">
        <v>702.79999999999984</v>
      </c>
    </row>
    <row r="315" spans="1:8">
      <c r="A315" s="22">
        <v>35</v>
      </c>
      <c r="B315" s="4" t="s">
        <v>7</v>
      </c>
      <c r="C315" s="4" t="s">
        <v>15</v>
      </c>
      <c r="D315" s="4" t="s">
        <v>12</v>
      </c>
      <c r="E315" s="4" t="s">
        <v>16</v>
      </c>
      <c r="F315" s="4">
        <v>102</v>
      </c>
      <c r="G315" s="5">
        <v>921.67199999999991</v>
      </c>
    </row>
    <row r="316" spans="1:8">
      <c r="A316" s="22">
        <v>37</v>
      </c>
      <c r="B316" s="4" t="s">
        <v>7</v>
      </c>
      <c r="C316" s="4" t="s">
        <v>15</v>
      </c>
      <c r="D316" s="4" t="s">
        <v>12</v>
      </c>
      <c r="E316" s="4" t="s">
        <v>16</v>
      </c>
      <c r="F316" s="4">
        <v>108</v>
      </c>
      <c r="G316" s="5">
        <v>650.59199999999998</v>
      </c>
    </row>
    <row r="317" spans="1:8">
      <c r="A317" s="22">
        <v>40</v>
      </c>
      <c r="B317" s="4" t="s">
        <v>7</v>
      </c>
      <c r="C317" s="4" t="s">
        <v>15</v>
      </c>
      <c r="D317" s="4" t="s">
        <v>12</v>
      </c>
      <c r="E317" s="4" t="s">
        <v>16</v>
      </c>
      <c r="F317" s="4">
        <v>114</v>
      </c>
      <c r="G317" s="5">
        <v>502</v>
      </c>
      <c r="H317" s="21" t="s">
        <v>31</v>
      </c>
    </row>
    <row r="318" spans="1:8">
      <c r="A318" s="22">
        <v>43</v>
      </c>
      <c r="B318" s="4" t="s">
        <v>7</v>
      </c>
      <c r="C318" s="4" t="s">
        <v>15</v>
      </c>
      <c r="D318" s="4" t="s">
        <v>12</v>
      </c>
      <c r="E318" s="4" t="s">
        <v>16</v>
      </c>
      <c r="F318" s="4">
        <v>115</v>
      </c>
      <c r="G318" s="5">
        <v>692.75999999999988</v>
      </c>
    </row>
    <row r="319" spans="1:8">
      <c r="A319" s="22">
        <v>45</v>
      </c>
      <c r="B319" s="4" t="s">
        <v>7</v>
      </c>
      <c r="C319" s="4" t="s">
        <v>15</v>
      </c>
      <c r="D319" s="4" t="s">
        <v>12</v>
      </c>
      <c r="E319" s="4" t="s">
        <v>16</v>
      </c>
      <c r="F319" s="4">
        <v>117</v>
      </c>
      <c r="G319" s="5">
        <v>728.30159999999989</v>
      </c>
    </row>
    <row r="320" spans="1:8">
      <c r="A320" s="22">
        <v>46</v>
      </c>
      <c r="B320" s="4" t="s">
        <v>7</v>
      </c>
      <c r="C320" s="4" t="s">
        <v>15</v>
      </c>
      <c r="D320" s="4" t="s">
        <v>12</v>
      </c>
      <c r="E320" s="4" t="s">
        <v>16</v>
      </c>
      <c r="F320" s="4">
        <v>117</v>
      </c>
      <c r="G320" s="5">
        <v>998.47799999999984</v>
      </c>
    </row>
    <row r="321" spans="1:7">
      <c r="A321" s="22">
        <v>49</v>
      </c>
      <c r="B321" s="4" t="s">
        <v>7</v>
      </c>
      <c r="C321" s="4" t="s">
        <v>15</v>
      </c>
      <c r="D321" s="4" t="s">
        <v>12</v>
      </c>
      <c r="E321" s="4" t="s">
        <v>16</v>
      </c>
      <c r="F321" s="4">
        <v>125</v>
      </c>
      <c r="G321" s="5">
        <v>1004</v>
      </c>
    </row>
    <row r="322" spans="1:7">
      <c r="A322" s="22">
        <v>51</v>
      </c>
      <c r="B322" s="4" t="s">
        <v>7</v>
      </c>
      <c r="C322" s="4" t="s">
        <v>15</v>
      </c>
      <c r="D322" s="4" t="s">
        <v>12</v>
      </c>
      <c r="E322" s="4" t="s">
        <v>16</v>
      </c>
      <c r="F322" s="4">
        <v>127</v>
      </c>
      <c r="G322" s="5">
        <v>1020.064</v>
      </c>
    </row>
    <row r="323" spans="1:7">
      <c r="A323" s="22">
        <v>52</v>
      </c>
      <c r="B323" s="4" t="s">
        <v>7</v>
      </c>
      <c r="C323" s="4" t="s">
        <v>15</v>
      </c>
      <c r="D323" s="4" t="s">
        <v>12</v>
      </c>
      <c r="E323" s="4" t="s">
        <v>16</v>
      </c>
      <c r="F323" s="6">
        <v>135</v>
      </c>
      <c r="G323" s="6">
        <v>1053</v>
      </c>
    </row>
    <row r="324" spans="1:7">
      <c r="A324" s="22">
        <v>54</v>
      </c>
      <c r="B324" s="4" t="s">
        <v>7</v>
      </c>
      <c r="C324" s="4" t="s">
        <v>15</v>
      </c>
      <c r="D324" s="4" t="s">
        <v>12</v>
      </c>
      <c r="E324" s="4" t="s">
        <v>16</v>
      </c>
      <c r="F324" s="4">
        <v>136</v>
      </c>
      <c r="G324" s="5">
        <v>1024.08</v>
      </c>
    </row>
    <row r="325" spans="1:7">
      <c r="A325" s="22">
        <v>55</v>
      </c>
      <c r="B325" s="4" t="s">
        <v>7</v>
      </c>
      <c r="C325" s="4" t="s">
        <v>15</v>
      </c>
      <c r="D325" s="4" t="s">
        <v>12</v>
      </c>
      <c r="E325" s="4" t="s">
        <v>16</v>
      </c>
      <c r="F325" s="4">
        <v>143</v>
      </c>
      <c r="G325" s="5">
        <v>861.4319999999999</v>
      </c>
    </row>
    <row r="326" spans="1:7">
      <c r="A326" s="22">
        <v>59</v>
      </c>
      <c r="B326" s="4" t="s">
        <v>7</v>
      </c>
      <c r="C326" s="4" t="s">
        <v>15</v>
      </c>
      <c r="D326" s="4" t="s">
        <v>12</v>
      </c>
      <c r="E326" s="4" t="s">
        <v>16</v>
      </c>
      <c r="F326" s="4">
        <v>153</v>
      </c>
      <c r="G326" s="5">
        <v>1228.896</v>
      </c>
    </row>
    <row r="327" spans="1:7">
      <c r="A327" s="22">
        <v>60</v>
      </c>
      <c r="B327" s="4" t="s">
        <v>7</v>
      </c>
      <c r="C327" s="4" t="s">
        <v>15</v>
      </c>
      <c r="D327" s="4" t="s">
        <v>12</v>
      </c>
      <c r="E327" s="4" t="s">
        <v>16</v>
      </c>
      <c r="F327" s="6">
        <v>156</v>
      </c>
      <c r="G327" s="6">
        <v>1025</v>
      </c>
    </row>
    <row r="328" spans="1:7">
      <c r="A328" s="22">
        <v>63</v>
      </c>
      <c r="B328" s="4" t="s">
        <v>7</v>
      </c>
      <c r="C328" s="4" t="s">
        <v>15</v>
      </c>
      <c r="D328" s="4" t="s">
        <v>12</v>
      </c>
      <c r="E328" s="4" t="s">
        <v>16</v>
      </c>
      <c r="F328" s="4">
        <v>162</v>
      </c>
      <c r="G328" s="5">
        <v>1305</v>
      </c>
    </row>
    <row r="329" spans="1:7">
      <c r="A329" s="19"/>
      <c r="B329" s="19"/>
    </row>
    <row r="330" spans="1:7">
      <c r="A330" s="1" t="s">
        <v>0</v>
      </c>
      <c r="B330" s="8" t="s">
        <v>1</v>
      </c>
      <c r="C330" s="7" t="s">
        <v>2</v>
      </c>
      <c r="D330" s="7" t="s">
        <v>3</v>
      </c>
      <c r="E330" s="9" t="s">
        <v>4</v>
      </c>
      <c r="F330" s="2" t="s">
        <v>5</v>
      </c>
      <c r="G330" s="2" t="s">
        <v>6</v>
      </c>
    </row>
    <row r="331" spans="1:7">
      <c r="A331" s="4">
        <v>7</v>
      </c>
      <c r="B331" s="4" t="s">
        <v>7</v>
      </c>
      <c r="C331" s="4" t="s">
        <v>15</v>
      </c>
      <c r="D331" s="4" t="s">
        <v>12</v>
      </c>
      <c r="E331" s="4" t="s">
        <v>16</v>
      </c>
      <c r="F331" s="4">
        <v>52</v>
      </c>
      <c r="G331" s="5">
        <v>274.09199999999998</v>
      </c>
    </row>
    <row r="332" spans="1:7">
      <c r="A332" s="4">
        <v>8</v>
      </c>
      <c r="B332" s="4" t="s">
        <v>7</v>
      </c>
      <c r="C332" s="4" t="s">
        <v>15</v>
      </c>
      <c r="D332" s="4" t="s">
        <v>12</v>
      </c>
      <c r="E332" s="4" t="s">
        <v>16</v>
      </c>
      <c r="F332" s="4">
        <v>61</v>
      </c>
      <c r="G332" s="5">
        <v>336.84199999999998</v>
      </c>
    </row>
    <row r="333" spans="1:7">
      <c r="A333" s="4">
        <v>10</v>
      </c>
      <c r="B333" s="4" t="s">
        <v>7</v>
      </c>
      <c r="C333" s="4" t="s">
        <v>15</v>
      </c>
      <c r="D333" s="4" t="s">
        <v>12</v>
      </c>
      <c r="E333" s="4" t="s">
        <v>16</v>
      </c>
      <c r="F333" s="4">
        <v>68</v>
      </c>
      <c r="G333" s="5">
        <v>512.04</v>
      </c>
    </row>
    <row r="334" spans="1:7">
      <c r="A334" s="4">
        <v>12</v>
      </c>
      <c r="B334" s="4" t="s">
        <v>7</v>
      </c>
      <c r="C334" s="4" t="s">
        <v>15</v>
      </c>
      <c r="D334" s="4" t="s">
        <v>12</v>
      </c>
      <c r="E334" s="4" t="s">
        <v>16</v>
      </c>
      <c r="F334" s="4">
        <v>70</v>
      </c>
      <c r="G334" s="5">
        <v>379.512</v>
      </c>
    </row>
    <row r="335" spans="1:7">
      <c r="A335" s="4">
        <v>13</v>
      </c>
      <c r="B335" s="4" t="s">
        <v>7</v>
      </c>
      <c r="C335" s="4" t="s">
        <v>15</v>
      </c>
      <c r="D335" s="4" t="s">
        <v>12</v>
      </c>
      <c r="E335" s="4" t="s">
        <v>16</v>
      </c>
      <c r="F335" s="4">
        <v>72</v>
      </c>
      <c r="G335" s="5">
        <v>397.58399999999995</v>
      </c>
    </row>
    <row r="336" spans="1:7">
      <c r="A336" s="4">
        <v>14</v>
      </c>
      <c r="B336" s="4" t="s">
        <v>7</v>
      </c>
      <c r="C336" s="4" t="s">
        <v>15</v>
      </c>
      <c r="D336" s="4" t="s">
        <v>12</v>
      </c>
      <c r="E336" s="4" t="s">
        <v>16</v>
      </c>
      <c r="F336" s="4">
        <v>73</v>
      </c>
      <c r="G336" s="5">
        <v>659.62799999999993</v>
      </c>
    </row>
    <row r="337" spans="1:7">
      <c r="A337" s="4">
        <v>15</v>
      </c>
      <c r="B337" s="4" t="s">
        <v>7</v>
      </c>
      <c r="C337" s="4" t="s">
        <v>15</v>
      </c>
      <c r="D337" s="4" t="s">
        <v>12</v>
      </c>
      <c r="E337" s="4" t="s">
        <v>16</v>
      </c>
      <c r="F337" s="4">
        <v>74</v>
      </c>
      <c r="G337" s="5">
        <v>482.92399999999998</v>
      </c>
    </row>
    <row r="338" spans="1:7">
      <c r="A338" s="4">
        <v>19</v>
      </c>
      <c r="B338" s="4" t="s">
        <v>7</v>
      </c>
      <c r="C338" s="4" t="s">
        <v>15</v>
      </c>
      <c r="D338" s="4" t="s">
        <v>12</v>
      </c>
      <c r="E338" s="4" t="s">
        <v>16</v>
      </c>
      <c r="F338" s="4">
        <v>79</v>
      </c>
      <c r="G338" s="5">
        <v>475.89599999999996</v>
      </c>
    </row>
    <row r="339" spans="1:7">
      <c r="A339" s="4">
        <v>23</v>
      </c>
      <c r="B339" s="4" t="s">
        <v>7</v>
      </c>
      <c r="C339" s="4" t="s">
        <v>15</v>
      </c>
      <c r="D339" s="4" t="s">
        <v>12</v>
      </c>
      <c r="E339" s="4" t="s">
        <v>16</v>
      </c>
      <c r="F339" s="4">
        <v>81</v>
      </c>
      <c r="G339" s="5">
        <v>691.25399999999991</v>
      </c>
    </row>
    <row r="340" spans="1:7">
      <c r="A340" s="4">
        <v>24</v>
      </c>
      <c r="B340" s="4" t="s">
        <v>7</v>
      </c>
      <c r="C340" s="4" t="s">
        <v>15</v>
      </c>
      <c r="D340" s="4" t="s">
        <v>12</v>
      </c>
      <c r="E340" s="4" t="s">
        <v>16</v>
      </c>
      <c r="F340" s="4">
        <v>83</v>
      </c>
      <c r="G340" s="5">
        <v>466.6592</v>
      </c>
    </row>
    <row r="341" spans="1:7">
      <c r="A341" s="4">
        <v>26</v>
      </c>
      <c r="B341" s="4" t="s">
        <v>7</v>
      </c>
      <c r="C341" s="4" t="s">
        <v>15</v>
      </c>
      <c r="D341" s="4" t="s">
        <v>12</v>
      </c>
      <c r="E341" s="4" t="s">
        <v>16</v>
      </c>
      <c r="F341" s="4">
        <v>84</v>
      </c>
      <c r="G341" s="5">
        <v>421.67999999999995</v>
      </c>
    </row>
    <row r="342" spans="1:7">
      <c r="A342" s="4">
        <v>27</v>
      </c>
      <c r="B342" s="4" t="s">
        <v>7</v>
      </c>
      <c r="C342" s="4" t="s">
        <v>15</v>
      </c>
      <c r="D342" s="4" t="s">
        <v>12</v>
      </c>
      <c r="E342" s="4" t="s">
        <v>16</v>
      </c>
      <c r="F342" s="4">
        <v>85</v>
      </c>
      <c r="G342" s="5">
        <v>725.39</v>
      </c>
    </row>
    <row r="343" spans="1:7">
      <c r="A343" s="4">
        <v>30</v>
      </c>
      <c r="B343" s="4" t="s">
        <v>7</v>
      </c>
      <c r="C343" s="4" t="s">
        <v>15</v>
      </c>
      <c r="D343" s="4" t="s">
        <v>12</v>
      </c>
      <c r="E343" s="4" t="s">
        <v>16</v>
      </c>
      <c r="F343" s="4">
        <v>90</v>
      </c>
      <c r="G343" s="5">
        <v>406.61999999999995</v>
      </c>
    </row>
    <row r="344" spans="1:7">
      <c r="A344" s="4">
        <v>32</v>
      </c>
      <c r="B344" s="4" t="s">
        <v>7</v>
      </c>
      <c r="C344" s="4" t="s">
        <v>15</v>
      </c>
      <c r="D344" s="4" t="s">
        <v>12</v>
      </c>
      <c r="E344" s="4" t="s">
        <v>16</v>
      </c>
      <c r="F344" s="4">
        <v>92</v>
      </c>
      <c r="G344" s="5">
        <v>831.31200000000001</v>
      </c>
    </row>
    <row r="345" spans="1:7">
      <c r="A345" s="4">
        <v>33</v>
      </c>
      <c r="B345" s="4" t="s">
        <v>7</v>
      </c>
      <c r="C345" s="4" t="s">
        <v>15</v>
      </c>
      <c r="D345" s="4" t="s">
        <v>12</v>
      </c>
      <c r="E345" s="4" t="s">
        <v>16</v>
      </c>
      <c r="F345" s="4">
        <v>100</v>
      </c>
      <c r="G345" s="5">
        <v>702.79999999999984</v>
      </c>
    </row>
    <row r="346" spans="1:7">
      <c r="A346" s="22">
        <v>35</v>
      </c>
      <c r="B346" s="4" t="s">
        <v>7</v>
      </c>
      <c r="C346" s="4" t="s">
        <v>15</v>
      </c>
      <c r="D346" s="4" t="s">
        <v>12</v>
      </c>
      <c r="E346" s="4" t="s">
        <v>16</v>
      </c>
      <c r="F346" s="4">
        <v>102</v>
      </c>
      <c r="G346" s="5">
        <v>921.67199999999991</v>
      </c>
    </row>
    <row r="347" spans="1:7">
      <c r="A347" s="22">
        <v>37</v>
      </c>
      <c r="B347" s="4" t="s">
        <v>7</v>
      </c>
      <c r="C347" s="4" t="s">
        <v>15</v>
      </c>
      <c r="D347" s="4" t="s">
        <v>12</v>
      </c>
      <c r="E347" s="4" t="s">
        <v>16</v>
      </c>
      <c r="F347" s="4">
        <v>108</v>
      </c>
      <c r="G347" s="5">
        <v>650.59199999999998</v>
      </c>
    </row>
    <row r="348" spans="1:7">
      <c r="A348" s="22">
        <v>43</v>
      </c>
      <c r="B348" s="4" t="s">
        <v>7</v>
      </c>
      <c r="C348" s="4" t="s">
        <v>15</v>
      </c>
      <c r="D348" s="4" t="s">
        <v>12</v>
      </c>
      <c r="E348" s="4" t="s">
        <v>16</v>
      </c>
      <c r="F348" s="4">
        <v>115</v>
      </c>
      <c r="G348" s="5">
        <v>692.75999999999988</v>
      </c>
    </row>
    <row r="349" spans="1:7">
      <c r="A349" s="22">
        <v>45</v>
      </c>
      <c r="B349" s="4" t="s">
        <v>7</v>
      </c>
      <c r="C349" s="4" t="s">
        <v>15</v>
      </c>
      <c r="D349" s="4" t="s">
        <v>12</v>
      </c>
      <c r="E349" s="4" t="s">
        <v>16</v>
      </c>
      <c r="F349" s="4">
        <v>117</v>
      </c>
      <c r="G349" s="5">
        <v>728.30159999999989</v>
      </c>
    </row>
    <row r="350" spans="1:7">
      <c r="A350" s="22">
        <v>46</v>
      </c>
      <c r="B350" s="4" t="s">
        <v>7</v>
      </c>
      <c r="C350" s="4" t="s">
        <v>15</v>
      </c>
      <c r="D350" s="4" t="s">
        <v>12</v>
      </c>
      <c r="E350" s="4" t="s">
        <v>16</v>
      </c>
      <c r="F350" s="4">
        <v>117</v>
      </c>
      <c r="G350" s="5">
        <v>998.47799999999984</v>
      </c>
    </row>
    <row r="351" spans="1:7">
      <c r="A351" s="22">
        <v>49</v>
      </c>
      <c r="B351" s="4" t="s">
        <v>7</v>
      </c>
      <c r="C351" s="4" t="s">
        <v>15</v>
      </c>
      <c r="D351" s="4" t="s">
        <v>12</v>
      </c>
      <c r="E351" s="4" t="s">
        <v>16</v>
      </c>
      <c r="F351" s="4">
        <v>125</v>
      </c>
      <c r="G351" s="5">
        <v>1004</v>
      </c>
    </row>
    <row r="352" spans="1:7">
      <c r="A352" s="22">
        <v>51</v>
      </c>
      <c r="B352" s="4" t="s">
        <v>7</v>
      </c>
      <c r="C352" s="4" t="s">
        <v>15</v>
      </c>
      <c r="D352" s="4" t="s">
        <v>12</v>
      </c>
      <c r="E352" s="4" t="s">
        <v>16</v>
      </c>
      <c r="F352" s="4">
        <v>127</v>
      </c>
      <c r="G352" s="5">
        <v>1020.064</v>
      </c>
    </row>
    <row r="353" spans="1:7">
      <c r="A353" s="22">
        <v>52</v>
      </c>
      <c r="B353" s="4" t="s">
        <v>7</v>
      </c>
      <c r="C353" s="4" t="s">
        <v>15</v>
      </c>
      <c r="D353" s="4" t="s">
        <v>12</v>
      </c>
      <c r="E353" s="4" t="s">
        <v>16</v>
      </c>
      <c r="F353" s="6">
        <v>135</v>
      </c>
      <c r="G353" s="6">
        <v>1053</v>
      </c>
    </row>
    <row r="354" spans="1:7">
      <c r="A354" s="22">
        <v>54</v>
      </c>
      <c r="B354" s="4" t="s">
        <v>7</v>
      </c>
      <c r="C354" s="4" t="s">
        <v>15</v>
      </c>
      <c r="D354" s="4" t="s">
        <v>12</v>
      </c>
      <c r="E354" s="4" t="s">
        <v>16</v>
      </c>
      <c r="F354" s="4">
        <v>136</v>
      </c>
      <c r="G354" s="5">
        <v>1024.08</v>
      </c>
    </row>
    <row r="355" spans="1:7">
      <c r="A355" s="22">
        <v>55</v>
      </c>
      <c r="B355" s="4" t="s">
        <v>7</v>
      </c>
      <c r="C355" s="4" t="s">
        <v>15</v>
      </c>
      <c r="D355" s="4" t="s">
        <v>12</v>
      </c>
      <c r="E355" s="4" t="s">
        <v>16</v>
      </c>
      <c r="F355" s="4">
        <v>143</v>
      </c>
      <c r="G355" s="5">
        <v>861.4319999999999</v>
      </c>
    </row>
    <row r="356" spans="1:7">
      <c r="A356" s="22">
        <v>59</v>
      </c>
      <c r="B356" s="4" t="s">
        <v>7</v>
      </c>
      <c r="C356" s="4" t="s">
        <v>15</v>
      </c>
      <c r="D356" s="4" t="s">
        <v>12</v>
      </c>
      <c r="E356" s="4" t="s">
        <v>16</v>
      </c>
      <c r="F356" s="4">
        <v>153</v>
      </c>
      <c r="G356" s="5">
        <v>1228.896</v>
      </c>
    </row>
    <row r="357" spans="1:7">
      <c r="A357" s="22">
        <v>60</v>
      </c>
      <c r="B357" s="4" t="s">
        <v>7</v>
      </c>
      <c r="C357" s="4" t="s">
        <v>15</v>
      </c>
      <c r="D357" s="4" t="s">
        <v>12</v>
      </c>
      <c r="E357" s="4" t="s">
        <v>16</v>
      </c>
      <c r="F357" s="6">
        <v>156</v>
      </c>
      <c r="G357" s="6">
        <v>1025</v>
      </c>
    </row>
    <row r="358" spans="1:7">
      <c r="A358" s="22">
        <v>63</v>
      </c>
      <c r="B358" s="4" t="s">
        <v>7</v>
      </c>
      <c r="C358" s="4" t="s">
        <v>15</v>
      </c>
      <c r="D358" s="4" t="s">
        <v>12</v>
      </c>
      <c r="E358" s="4" t="s">
        <v>16</v>
      </c>
      <c r="F358" s="4">
        <v>162</v>
      </c>
      <c r="G358" s="5">
        <v>1305</v>
      </c>
    </row>
    <row r="359" spans="1:7">
      <c r="A359" s="19"/>
      <c r="B359" s="19"/>
    </row>
    <row r="360" spans="1:7">
      <c r="A360" s="19"/>
      <c r="B360" s="19"/>
    </row>
    <row r="361" spans="1:7" ht="32">
      <c r="A361" s="19" t="s">
        <v>28</v>
      </c>
      <c r="B361" s="19"/>
    </row>
    <row r="362" spans="1:7">
      <c r="A362" t="s">
        <v>31</v>
      </c>
      <c r="B362" t="s">
        <v>32</v>
      </c>
    </row>
    <row r="363" spans="1:7" ht="20">
      <c r="A363" s="10" t="s">
        <v>33</v>
      </c>
      <c r="B363" s="19"/>
      <c r="C363" s="10" t="s">
        <v>33</v>
      </c>
    </row>
    <row r="364" spans="1:7" ht="20">
      <c r="A364" s="33">
        <v>28</v>
      </c>
      <c r="B364" s="19"/>
      <c r="C364" s="33">
        <v>28</v>
      </c>
    </row>
    <row r="365" spans="1:7" ht="20">
      <c r="A365" s="10" t="s">
        <v>34</v>
      </c>
      <c r="B365" s="19"/>
      <c r="C365" s="10" t="s">
        <v>34</v>
      </c>
    </row>
    <row r="366" spans="1:7" ht="20">
      <c r="A366" s="10" t="s">
        <v>0</v>
      </c>
      <c r="B366" s="19"/>
      <c r="C366" s="10" t="s">
        <v>0</v>
      </c>
    </row>
    <row r="367" spans="1:7">
      <c r="A367" s="19"/>
      <c r="B367" s="19"/>
    </row>
    <row r="368" spans="1:7">
      <c r="A368" s="1" t="s">
        <v>0</v>
      </c>
      <c r="B368" s="8" t="s">
        <v>1</v>
      </c>
      <c r="C368" s="7" t="s">
        <v>2</v>
      </c>
      <c r="D368" s="7" t="s">
        <v>3</v>
      </c>
      <c r="E368" s="9" t="s">
        <v>4</v>
      </c>
      <c r="F368" s="2" t="s">
        <v>5</v>
      </c>
      <c r="G368" s="2" t="s">
        <v>6</v>
      </c>
    </row>
    <row r="369" spans="1:7">
      <c r="A369" s="4">
        <v>7</v>
      </c>
      <c r="B369" s="4" t="s">
        <v>7</v>
      </c>
      <c r="C369" s="4" t="s">
        <v>15</v>
      </c>
      <c r="D369" s="4" t="s">
        <v>12</v>
      </c>
      <c r="E369" s="4" t="s">
        <v>16</v>
      </c>
      <c r="F369" s="4">
        <v>52</v>
      </c>
      <c r="G369" s="5">
        <v>274.09199999999998</v>
      </c>
    </row>
    <row r="370" spans="1:7">
      <c r="A370" s="4">
        <v>8</v>
      </c>
      <c r="B370" s="4" t="s">
        <v>7</v>
      </c>
      <c r="C370" s="4" t="s">
        <v>15</v>
      </c>
      <c r="D370" s="4" t="s">
        <v>12</v>
      </c>
      <c r="E370" s="4" t="s">
        <v>16</v>
      </c>
      <c r="F370" s="4">
        <v>61</v>
      </c>
      <c r="G370" s="5">
        <v>336.84199999999998</v>
      </c>
    </row>
    <row r="371" spans="1:7">
      <c r="A371" s="4">
        <v>10</v>
      </c>
      <c r="B371" s="4" t="s">
        <v>7</v>
      </c>
      <c r="C371" s="4" t="s">
        <v>15</v>
      </c>
      <c r="D371" s="4" t="s">
        <v>12</v>
      </c>
      <c r="E371" s="4" t="s">
        <v>16</v>
      </c>
      <c r="F371" s="4">
        <v>68</v>
      </c>
      <c r="G371" s="5">
        <v>512.04</v>
      </c>
    </row>
    <row r="372" spans="1:7">
      <c r="A372" s="4">
        <v>12</v>
      </c>
      <c r="B372" s="4" t="s">
        <v>7</v>
      </c>
      <c r="C372" s="4" t="s">
        <v>15</v>
      </c>
      <c r="D372" s="4" t="s">
        <v>12</v>
      </c>
      <c r="E372" s="4" t="s">
        <v>16</v>
      </c>
      <c r="F372" s="4">
        <v>70</v>
      </c>
      <c r="G372" s="5">
        <v>379.512</v>
      </c>
    </row>
    <row r="373" spans="1:7">
      <c r="A373" s="4">
        <v>13</v>
      </c>
      <c r="B373" s="4" t="s">
        <v>7</v>
      </c>
      <c r="C373" s="4" t="s">
        <v>15</v>
      </c>
      <c r="D373" s="4" t="s">
        <v>12</v>
      </c>
      <c r="E373" s="4" t="s">
        <v>16</v>
      </c>
      <c r="F373" s="4">
        <v>72</v>
      </c>
      <c r="G373" s="5">
        <v>397.58399999999995</v>
      </c>
    </row>
    <row r="374" spans="1:7">
      <c r="A374" s="4">
        <v>14</v>
      </c>
      <c r="B374" s="4" t="s">
        <v>7</v>
      </c>
      <c r="C374" s="4" t="s">
        <v>15</v>
      </c>
      <c r="D374" s="4" t="s">
        <v>12</v>
      </c>
      <c r="E374" s="4" t="s">
        <v>16</v>
      </c>
      <c r="F374" s="4">
        <v>73</v>
      </c>
      <c r="G374" s="5">
        <v>659.62799999999993</v>
      </c>
    </row>
    <row r="375" spans="1:7">
      <c r="A375" s="4">
        <v>15</v>
      </c>
      <c r="B375" s="4" t="s">
        <v>7</v>
      </c>
      <c r="C375" s="4" t="s">
        <v>15</v>
      </c>
      <c r="D375" s="4" t="s">
        <v>12</v>
      </c>
      <c r="E375" s="4" t="s">
        <v>16</v>
      </c>
      <c r="F375" s="4">
        <v>74</v>
      </c>
      <c r="G375" s="5">
        <v>482.92399999999998</v>
      </c>
    </row>
    <row r="376" spans="1:7">
      <c r="A376" s="4">
        <v>19</v>
      </c>
      <c r="B376" s="4" t="s">
        <v>7</v>
      </c>
      <c r="C376" s="4" t="s">
        <v>15</v>
      </c>
      <c r="D376" s="4" t="s">
        <v>12</v>
      </c>
      <c r="E376" s="4" t="s">
        <v>16</v>
      </c>
      <c r="F376" s="4">
        <v>79</v>
      </c>
      <c r="G376" s="5">
        <v>475.89599999999996</v>
      </c>
    </row>
    <row r="377" spans="1:7">
      <c r="A377" s="4">
        <v>23</v>
      </c>
      <c r="B377" s="4" t="s">
        <v>7</v>
      </c>
      <c r="C377" s="4" t="s">
        <v>15</v>
      </c>
      <c r="D377" s="4" t="s">
        <v>12</v>
      </c>
      <c r="E377" s="4" t="s">
        <v>16</v>
      </c>
      <c r="F377" s="4">
        <v>81</v>
      </c>
      <c r="G377" s="5">
        <v>691.25399999999991</v>
      </c>
    </row>
    <row r="378" spans="1:7">
      <c r="A378" s="4">
        <v>24</v>
      </c>
      <c r="B378" s="4" t="s">
        <v>7</v>
      </c>
      <c r="C378" s="4" t="s">
        <v>15</v>
      </c>
      <c r="D378" s="4" t="s">
        <v>12</v>
      </c>
      <c r="E378" s="4" t="s">
        <v>16</v>
      </c>
      <c r="F378" s="4">
        <v>83</v>
      </c>
      <c r="G378" s="5">
        <v>466.6592</v>
      </c>
    </row>
    <row r="379" spans="1:7">
      <c r="A379" s="4">
        <v>26</v>
      </c>
      <c r="B379" s="4" t="s">
        <v>7</v>
      </c>
      <c r="C379" s="4" t="s">
        <v>15</v>
      </c>
      <c r="D379" s="4" t="s">
        <v>12</v>
      </c>
      <c r="E379" s="4" t="s">
        <v>16</v>
      </c>
      <c r="F379" s="4">
        <v>84</v>
      </c>
      <c r="G379" s="5">
        <v>421.67999999999995</v>
      </c>
    </row>
    <row r="380" spans="1:7">
      <c r="A380" s="4">
        <v>27</v>
      </c>
      <c r="B380" s="4" t="s">
        <v>7</v>
      </c>
      <c r="C380" s="4" t="s">
        <v>15</v>
      </c>
      <c r="D380" s="4" t="s">
        <v>12</v>
      </c>
      <c r="E380" s="4" t="s">
        <v>16</v>
      </c>
      <c r="F380" s="4">
        <v>85</v>
      </c>
      <c r="G380" s="5">
        <v>725.39</v>
      </c>
    </row>
    <row r="381" spans="1:7">
      <c r="A381" s="4">
        <v>30</v>
      </c>
      <c r="B381" s="4" t="s">
        <v>7</v>
      </c>
      <c r="C381" s="4" t="s">
        <v>15</v>
      </c>
      <c r="D381" s="4" t="s">
        <v>12</v>
      </c>
      <c r="E381" s="4" t="s">
        <v>16</v>
      </c>
      <c r="F381" s="4">
        <v>90</v>
      </c>
      <c r="G381" s="5">
        <v>406.61999999999995</v>
      </c>
    </row>
    <row r="382" spans="1:7">
      <c r="A382" s="4">
        <v>32</v>
      </c>
      <c r="B382" s="4" t="s">
        <v>7</v>
      </c>
      <c r="C382" s="4" t="s">
        <v>15</v>
      </c>
      <c r="D382" s="4" t="s">
        <v>12</v>
      </c>
      <c r="E382" s="4" t="s">
        <v>16</v>
      </c>
      <c r="F382" s="4">
        <v>92</v>
      </c>
      <c r="G382" s="5">
        <v>831.31200000000001</v>
      </c>
    </row>
    <row r="383" spans="1:7">
      <c r="A383" s="4">
        <v>33</v>
      </c>
      <c r="B383" s="4" t="s">
        <v>7</v>
      </c>
      <c r="C383" s="4" t="s">
        <v>15</v>
      </c>
      <c r="D383" s="4" t="s">
        <v>12</v>
      </c>
      <c r="E383" s="4" t="s">
        <v>16</v>
      </c>
      <c r="F383" s="4">
        <v>100</v>
      </c>
      <c r="G383" s="5">
        <v>702.79999999999984</v>
      </c>
    </row>
    <row r="384" spans="1:7">
      <c r="A384" s="22">
        <v>35</v>
      </c>
      <c r="B384" s="4" t="s">
        <v>7</v>
      </c>
      <c r="C384" s="4" t="s">
        <v>15</v>
      </c>
      <c r="D384" s="4" t="s">
        <v>12</v>
      </c>
      <c r="E384" s="4" t="s">
        <v>16</v>
      </c>
      <c r="F384" s="4">
        <v>102</v>
      </c>
      <c r="G384" s="5">
        <v>921.67199999999991</v>
      </c>
    </row>
    <row r="385" spans="1:7">
      <c r="A385" s="22">
        <v>37</v>
      </c>
      <c r="B385" s="4" t="s">
        <v>7</v>
      </c>
      <c r="C385" s="4" t="s">
        <v>15</v>
      </c>
      <c r="D385" s="4" t="s">
        <v>12</v>
      </c>
      <c r="E385" s="4" t="s">
        <v>16</v>
      </c>
      <c r="F385" s="4">
        <v>108</v>
      </c>
      <c r="G385" s="5">
        <v>650.59199999999998</v>
      </c>
    </row>
    <row r="386" spans="1:7">
      <c r="A386" s="22">
        <v>43</v>
      </c>
      <c r="B386" s="4" t="s">
        <v>7</v>
      </c>
      <c r="C386" s="4" t="s">
        <v>15</v>
      </c>
      <c r="D386" s="4" t="s">
        <v>12</v>
      </c>
      <c r="E386" s="4" t="s">
        <v>16</v>
      </c>
      <c r="F386" s="4">
        <v>115</v>
      </c>
      <c r="G386" s="5">
        <v>692.75999999999988</v>
      </c>
    </row>
    <row r="387" spans="1:7">
      <c r="A387" s="22">
        <v>45</v>
      </c>
      <c r="B387" s="4" t="s">
        <v>7</v>
      </c>
      <c r="C387" s="4" t="s">
        <v>15</v>
      </c>
      <c r="D387" s="4" t="s">
        <v>12</v>
      </c>
      <c r="E387" s="4" t="s">
        <v>16</v>
      </c>
      <c r="F387" s="4">
        <v>117</v>
      </c>
      <c r="G387" s="5">
        <v>728.30159999999989</v>
      </c>
    </row>
    <row r="388" spans="1:7">
      <c r="A388" s="22">
        <v>46</v>
      </c>
      <c r="B388" s="4" t="s">
        <v>7</v>
      </c>
      <c r="C388" s="4" t="s">
        <v>15</v>
      </c>
      <c r="D388" s="4" t="s">
        <v>12</v>
      </c>
      <c r="E388" s="4" t="s">
        <v>16</v>
      </c>
      <c r="F388" s="4">
        <v>117</v>
      </c>
      <c r="G388" s="5">
        <v>998.47799999999984</v>
      </c>
    </row>
    <row r="389" spans="1:7">
      <c r="A389" s="22">
        <v>49</v>
      </c>
      <c r="B389" s="4" t="s">
        <v>7</v>
      </c>
      <c r="C389" s="4" t="s">
        <v>15</v>
      </c>
      <c r="D389" s="4" t="s">
        <v>12</v>
      </c>
      <c r="E389" s="4" t="s">
        <v>16</v>
      </c>
      <c r="F389" s="4">
        <v>125</v>
      </c>
      <c r="G389" s="5">
        <v>1004</v>
      </c>
    </row>
    <row r="390" spans="1:7">
      <c r="A390" s="22">
        <v>51</v>
      </c>
      <c r="B390" s="4" t="s">
        <v>7</v>
      </c>
      <c r="C390" s="4" t="s">
        <v>15</v>
      </c>
      <c r="D390" s="4" t="s">
        <v>12</v>
      </c>
      <c r="E390" s="4" t="s">
        <v>16</v>
      </c>
      <c r="F390" s="4">
        <v>127</v>
      </c>
      <c r="G390" s="5">
        <v>1020.064</v>
      </c>
    </row>
    <row r="391" spans="1:7">
      <c r="A391" s="22">
        <v>52</v>
      </c>
      <c r="B391" s="4" t="s">
        <v>7</v>
      </c>
      <c r="C391" s="4" t="s">
        <v>15</v>
      </c>
      <c r="D391" s="4" t="s">
        <v>12</v>
      </c>
      <c r="E391" s="4" t="s">
        <v>16</v>
      </c>
      <c r="F391" s="6">
        <v>135</v>
      </c>
      <c r="G391" s="6">
        <v>1053</v>
      </c>
    </row>
    <row r="392" spans="1:7">
      <c r="A392" s="22">
        <v>54</v>
      </c>
      <c r="B392" s="4" t="s">
        <v>7</v>
      </c>
      <c r="C392" s="4" t="s">
        <v>15</v>
      </c>
      <c r="D392" s="4" t="s">
        <v>12</v>
      </c>
      <c r="E392" s="4" t="s">
        <v>16</v>
      </c>
      <c r="F392" s="4">
        <v>136</v>
      </c>
      <c r="G392" s="5">
        <v>1024.08</v>
      </c>
    </row>
    <row r="393" spans="1:7">
      <c r="A393" s="22">
        <v>55</v>
      </c>
      <c r="B393" s="4" t="s">
        <v>7</v>
      </c>
      <c r="C393" s="4" t="s">
        <v>15</v>
      </c>
      <c r="D393" s="4" t="s">
        <v>12</v>
      </c>
      <c r="E393" s="4" t="s">
        <v>16</v>
      </c>
      <c r="F393" s="4">
        <v>143</v>
      </c>
      <c r="G393" s="5">
        <v>861.4319999999999</v>
      </c>
    </row>
    <row r="394" spans="1:7">
      <c r="A394" s="22">
        <v>59</v>
      </c>
      <c r="B394" s="4" t="s">
        <v>7</v>
      </c>
      <c r="C394" s="4" t="s">
        <v>15</v>
      </c>
      <c r="D394" s="4" t="s">
        <v>12</v>
      </c>
      <c r="E394" s="4" t="s">
        <v>16</v>
      </c>
      <c r="F394" s="4">
        <v>153</v>
      </c>
      <c r="G394" s="5">
        <v>1228.896</v>
      </c>
    </row>
    <row r="395" spans="1:7">
      <c r="A395" s="22">
        <v>60</v>
      </c>
      <c r="B395" s="4" t="s">
        <v>7</v>
      </c>
      <c r="C395" s="4" t="s">
        <v>15</v>
      </c>
      <c r="D395" s="4" t="s">
        <v>12</v>
      </c>
      <c r="E395" s="4" t="s">
        <v>16</v>
      </c>
      <c r="F395" s="6">
        <v>156</v>
      </c>
      <c r="G395" s="6">
        <v>1025</v>
      </c>
    </row>
    <row r="396" spans="1:7">
      <c r="A396" s="22">
        <v>63</v>
      </c>
      <c r="B396" s="4" t="s">
        <v>7</v>
      </c>
      <c r="C396" s="4" t="s">
        <v>15</v>
      </c>
      <c r="D396" s="4" t="s">
        <v>12</v>
      </c>
      <c r="E396" s="4" t="s">
        <v>16</v>
      </c>
      <c r="F396" s="4">
        <v>162</v>
      </c>
      <c r="G396" s="5">
        <v>1305</v>
      </c>
    </row>
    <row r="397" spans="1:7">
      <c r="A397" s="19"/>
      <c r="B397" s="19"/>
    </row>
    <row r="398" spans="1:7">
      <c r="A398" s="19"/>
      <c r="B398" s="19"/>
    </row>
    <row r="399" spans="1:7">
      <c r="A399" s="19" t="s">
        <v>35</v>
      </c>
      <c r="B399" s="19"/>
    </row>
    <row r="400" spans="1:7">
      <c r="A400" s="19"/>
      <c r="B400" s="19"/>
    </row>
    <row r="401" spans="1:10">
      <c r="A401" s="19"/>
      <c r="B401" s="19"/>
    </row>
    <row r="402" spans="1:10" ht="17">
      <c r="A402" s="19"/>
      <c r="B402" s="19"/>
      <c r="H402" s="14"/>
      <c r="I402" s="14"/>
      <c r="J402" s="14"/>
    </row>
    <row r="403" spans="1:10" ht="17">
      <c r="A403" s="19"/>
      <c r="B403" s="19"/>
      <c r="H403" s="14"/>
      <c r="I403" s="14"/>
      <c r="J403" s="14"/>
    </row>
    <row r="404" spans="1:10" ht="17">
      <c r="A404" s="19"/>
      <c r="B404" s="19"/>
      <c r="H404" s="14"/>
      <c r="I404" s="14"/>
      <c r="J404" s="14"/>
    </row>
    <row r="405" spans="1:10" ht="17">
      <c r="A405" s="19"/>
      <c r="B405" s="19"/>
      <c r="H405" s="14"/>
      <c r="I405" s="14"/>
      <c r="J405" s="14"/>
    </row>
    <row r="406" spans="1:10" ht="17">
      <c r="A406" s="19"/>
      <c r="B406" s="19"/>
      <c r="H406" s="14"/>
      <c r="I406" s="14"/>
      <c r="J406" s="14"/>
    </row>
    <row r="407" spans="1:10" ht="17">
      <c r="A407" s="19"/>
      <c r="B407" s="19"/>
      <c r="H407" s="14"/>
      <c r="I407" s="14"/>
      <c r="J407" s="14"/>
    </row>
    <row r="408" spans="1:10" ht="17">
      <c r="A408" s="19"/>
      <c r="B408" s="19"/>
      <c r="H408" s="14"/>
      <c r="I408" s="14"/>
      <c r="J408" s="14"/>
    </row>
    <row r="409" spans="1:10" ht="17">
      <c r="A409" s="19"/>
      <c r="B409" s="19"/>
      <c r="H409" s="14"/>
      <c r="I409" s="14"/>
      <c r="J409" s="14"/>
    </row>
    <row r="410" spans="1:10" ht="17">
      <c r="A410" s="19"/>
      <c r="B410" s="19"/>
      <c r="H410" s="14"/>
      <c r="I410" s="14"/>
      <c r="J410" s="14"/>
    </row>
    <row r="411" spans="1:10" ht="17">
      <c r="A411" s="19"/>
      <c r="B411" s="19"/>
      <c r="H411" s="14"/>
      <c r="I411" s="14"/>
      <c r="J411" s="14"/>
    </row>
    <row r="412" spans="1:10">
      <c r="A412" s="19"/>
      <c r="B412" s="19"/>
    </row>
    <row r="413" spans="1:10">
      <c r="A413" s="19"/>
      <c r="B413" s="19"/>
    </row>
    <row r="414" spans="1:10" ht="17">
      <c r="A414" s="19"/>
      <c r="B414" s="19"/>
      <c r="F414" s="14"/>
    </row>
    <row r="415" spans="1:10" ht="17">
      <c r="A415" s="19"/>
      <c r="B415" s="19"/>
      <c r="F415" s="15"/>
    </row>
    <row r="416" spans="1:10">
      <c r="A416" s="19"/>
      <c r="B416" s="19"/>
    </row>
    <row r="417" spans="1:11" ht="20">
      <c r="A417" s="13" t="s">
        <v>36</v>
      </c>
    </row>
    <row r="418" spans="1:11" ht="17">
      <c r="A418" s="14" t="s">
        <v>37</v>
      </c>
      <c r="B418" s="14"/>
      <c r="C418" s="14"/>
    </row>
    <row r="419" spans="1:11" ht="17">
      <c r="A419" s="15">
        <v>0.80310000000000004</v>
      </c>
      <c r="B419" s="14"/>
      <c r="C419" s="14"/>
    </row>
    <row r="420" spans="1:11" ht="17">
      <c r="B420" s="14"/>
      <c r="C420" s="14"/>
    </row>
    <row r="421" spans="1:11" ht="20">
      <c r="A421" s="13" t="s">
        <v>38</v>
      </c>
      <c r="B421" s="14"/>
      <c r="C421" s="14"/>
      <c r="F421" s="14"/>
      <c r="G421" s="14"/>
      <c r="H421" s="14"/>
      <c r="I421" s="14"/>
    </row>
    <row r="422" spans="1:11" ht="17">
      <c r="A422" s="14" t="s">
        <v>39</v>
      </c>
      <c r="E422" s="14"/>
      <c r="F422" s="14"/>
      <c r="G422" s="14"/>
      <c r="H422" s="14"/>
      <c r="I422" s="14"/>
    </row>
    <row r="424" spans="1:11">
      <c r="A424" t="s">
        <v>40</v>
      </c>
    </row>
    <row r="425" spans="1:11" ht="26">
      <c r="A425" s="1" t="s">
        <v>0</v>
      </c>
      <c r="B425" s="8" t="s">
        <v>1</v>
      </c>
      <c r="C425" s="7" t="s">
        <v>2</v>
      </c>
      <c r="D425" s="7" t="s">
        <v>3</v>
      </c>
      <c r="E425" s="9" t="s">
        <v>4</v>
      </c>
      <c r="F425" s="2" t="s">
        <v>5</v>
      </c>
      <c r="G425" s="2" t="s">
        <v>6</v>
      </c>
      <c r="H425" s="2" t="s">
        <v>41</v>
      </c>
      <c r="I425" s="2" t="s">
        <v>42</v>
      </c>
      <c r="J425" s="2" t="s">
        <v>43</v>
      </c>
      <c r="K425" s="2" t="s">
        <v>40</v>
      </c>
    </row>
    <row r="426" spans="1:11">
      <c r="A426" s="4">
        <v>7</v>
      </c>
      <c r="B426" s="4" t="s">
        <v>7</v>
      </c>
      <c r="C426" s="4" t="s">
        <v>15</v>
      </c>
      <c r="D426" s="4" t="s">
        <v>12</v>
      </c>
      <c r="E426" s="4" t="s">
        <v>16</v>
      </c>
      <c r="F426" s="4">
        <v>52</v>
      </c>
      <c r="G426" s="5">
        <v>274.09199999999998</v>
      </c>
      <c r="H426" s="17">
        <f>-123.29+8.2976*F426</f>
        <v>308.18519999999995</v>
      </c>
      <c r="I426" s="18">
        <f>(H426-G426)/G426</f>
        <v>0.1243859725931438</v>
      </c>
      <c r="J426" s="18">
        <f>ABS(I426)</f>
        <v>0.1243859725931438</v>
      </c>
      <c r="K426" s="18">
        <f>AVERAGE(J426:J453)</f>
        <v>0.16504295342848602</v>
      </c>
    </row>
    <row r="427" spans="1:11">
      <c r="A427" s="4">
        <v>8</v>
      </c>
      <c r="B427" s="4" t="s">
        <v>7</v>
      </c>
      <c r="C427" s="4" t="s">
        <v>15</v>
      </c>
      <c r="D427" s="4" t="s">
        <v>12</v>
      </c>
      <c r="E427" s="4" t="s">
        <v>16</v>
      </c>
      <c r="F427" s="4">
        <v>61</v>
      </c>
      <c r="G427" s="5">
        <v>336.84199999999998</v>
      </c>
      <c r="H427" s="17">
        <f t="shared" ref="H427:H453" si="0">-123.29+8.2976*F427</f>
        <v>382.86359999999991</v>
      </c>
      <c r="I427" s="18">
        <f t="shared" ref="I427:I450" si="1">(H427-G427)/G427</f>
        <v>0.13662666769583343</v>
      </c>
      <c r="J427" s="18">
        <f t="shared" ref="J427:J450" si="2">ABS(I427)</f>
        <v>0.13662666769583343</v>
      </c>
      <c r="K427" s="11"/>
    </row>
    <row r="428" spans="1:11">
      <c r="A428" s="4">
        <v>10</v>
      </c>
      <c r="B428" s="4" t="s">
        <v>7</v>
      </c>
      <c r="C428" s="4" t="s">
        <v>15</v>
      </c>
      <c r="D428" s="4" t="s">
        <v>12</v>
      </c>
      <c r="E428" s="4" t="s">
        <v>16</v>
      </c>
      <c r="F428" s="4">
        <v>68</v>
      </c>
      <c r="G428" s="5">
        <v>512.04</v>
      </c>
      <c r="H428" s="17">
        <f t="shared" si="0"/>
        <v>440.94679999999988</v>
      </c>
      <c r="I428" s="18">
        <f t="shared" si="1"/>
        <v>-0.13884305913600517</v>
      </c>
      <c r="J428" s="18">
        <f t="shared" si="2"/>
        <v>0.13884305913600517</v>
      </c>
      <c r="K428" s="11"/>
    </row>
    <row r="429" spans="1:11">
      <c r="A429" s="4">
        <v>12</v>
      </c>
      <c r="B429" s="4" t="s">
        <v>7</v>
      </c>
      <c r="C429" s="4" t="s">
        <v>15</v>
      </c>
      <c r="D429" s="4" t="s">
        <v>12</v>
      </c>
      <c r="E429" s="4" t="s">
        <v>16</v>
      </c>
      <c r="F429" s="4">
        <v>70</v>
      </c>
      <c r="G429" s="5">
        <v>379.512</v>
      </c>
      <c r="H429" s="17">
        <f t="shared" si="0"/>
        <v>457.54199999999997</v>
      </c>
      <c r="I429" s="18">
        <f t="shared" si="1"/>
        <v>0.20560614684120654</v>
      </c>
      <c r="J429" s="18">
        <f t="shared" si="2"/>
        <v>0.20560614684120654</v>
      </c>
      <c r="K429" s="11"/>
    </row>
    <row r="430" spans="1:11">
      <c r="A430" s="4">
        <v>13</v>
      </c>
      <c r="B430" s="4" t="s">
        <v>7</v>
      </c>
      <c r="C430" s="4" t="s">
        <v>15</v>
      </c>
      <c r="D430" s="4" t="s">
        <v>12</v>
      </c>
      <c r="E430" s="4" t="s">
        <v>16</v>
      </c>
      <c r="F430" s="4">
        <v>72</v>
      </c>
      <c r="G430" s="5">
        <v>397.58399999999995</v>
      </c>
      <c r="H430" s="17">
        <f t="shared" si="0"/>
        <v>474.13719999999995</v>
      </c>
      <c r="I430" s="18">
        <f t="shared" si="1"/>
        <v>0.19254597770534029</v>
      </c>
      <c r="J430" s="18">
        <f t="shared" si="2"/>
        <v>0.19254597770534029</v>
      </c>
      <c r="K430" s="11"/>
    </row>
    <row r="431" spans="1:11">
      <c r="A431" s="4">
        <v>14</v>
      </c>
      <c r="B431" s="4" t="s">
        <v>7</v>
      </c>
      <c r="C431" s="4" t="s">
        <v>15</v>
      </c>
      <c r="D431" s="4" t="s">
        <v>12</v>
      </c>
      <c r="E431" s="4" t="s">
        <v>16</v>
      </c>
      <c r="F431" s="4">
        <v>73</v>
      </c>
      <c r="G431" s="5">
        <v>659.62799999999993</v>
      </c>
      <c r="H431" s="17">
        <f t="shared" si="0"/>
        <v>482.43479999999994</v>
      </c>
      <c r="I431" s="18">
        <f t="shared" si="1"/>
        <v>-0.26862595280976553</v>
      </c>
      <c r="J431" s="18">
        <f t="shared" si="2"/>
        <v>0.26862595280976553</v>
      </c>
      <c r="K431" s="11"/>
    </row>
    <row r="432" spans="1:11">
      <c r="A432" s="4">
        <v>15</v>
      </c>
      <c r="B432" s="4" t="s">
        <v>7</v>
      </c>
      <c r="C432" s="4" t="s">
        <v>15</v>
      </c>
      <c r="D432" s="4" t="s">
        <v>12</v>
      </c>
      <c r="E432" s="4" t="s">
        <v>16</v>
      </c>
      <c r="F432" s="4">
        <v>74</v>
      </c>
      <c r="G432" s="5">
        <v>482.92399999999998</v>
      </c>
      <c r="H432" s="17">
        <f t="shared" si="0"/>
        <v>490.73239999999993</v>
      </c>
      <c r="I432" s="18">
        <f t="shared" si="1"/>
        <v>1.6169003818406105E-2</v>
      </c>
      <c r="J432" s="18">
        <f t="shared" si="2"/>
        <v>1.6169003818406105E-2</v>
      </c>
      <c r="K432" s="11"/>
    </row>
    <row r="433" spans="1:11">
      <c r="A433" s="4">
        <v>19</v>
      </c>
      <c r="B433" s="4" t="s">
        <v>7</v>
      </c>
      <c r="C433" s="4" t="s">
        <v>15</v>
      </c>
      <c r="D433" s="4" t="s">
        <v>12</v>
      </c>
      <c r="E433" s="4" t="s">
        <v>16</v>
      </c>
      <c r="F433" s="4">
        <v>79</v>
      </c>
      <c r="G433" s="5">
        <v>475.89599999999996</v>
      </c>
      <c r="H433" s="17">
        <f t="shared" si="0"/>
        <v>532.22039999999993</v>
      </c>
      <c r="I433" s="18">
        <f t="shared" si="1"/>
        <v>0.11835443037974679</v>
      </c>
      <c r="J433" s="18">
        <f t="shared" si="2"/>
        <v>0.11835443037974679</v>
      </c>
      <c r="K433" s="11"/>
    </row>
    <row r="434" spans="1:11">
      <c r="A434" s="4">
        <v>23</v>
      </c>
      <c r="B434" s="4" t="s">
        <v>7</v>
      </c>
      <c r="C434" s="4" t="s">
        <v>15</v>
      </c>
      <c r="D434" s="4" t="s">
        <v>12</v>
      </c>
      <c r="E434" s="4" t="s">
        <v>16</v>
      </c>
      <c r="F434" s="4">
        <v>81</v>
      </c>
      <c r="G434" s="5">
        <v>691.25399999999991</v>
      </c>
      <c r="H434" s="17">
        <f t="shared" si="0"/>
        <v>548.81560000000002</v>
      </c>
      <c r="I434" s="18">
        <f t="shared" si="1"/>
        <v>-0.20605797579471496</v>
      </c>
      <c r="J434" s="18">
        <f t="shared" si="2"/>
        <v>0.20605797579471496</v>
      </c>
      <c r="K434" s="11"/>
    </row>
    <row r="435" spans="1:11">
      <c r="A435" s="4">
        <v>24</v>
      </c>
      <c r="B435" s="4" t="s">
        <v>7</v>
      </c>
      <c r="C435" s="4" t="s">
        <v>15</v>
      </c>
      <c r="D435" s="4" t="s">
        <v>12</v>
      </c>
      <c r="E435" s="4" t="s">
        <v>16</v>
      </c>
      <c r="F435" s="4">
        <v>83</v>
      </c>
      <c r="G435" s="5">
        <v>466.6592</v>
      </c>
      <c r="H435" s="17">
        <f t="shared" si="0"/>
        <v>565.41079999999999</v>
      </c>
      <c r="I435" s="18">
        <f t="shared" si="1"/>
        <v>0.21161395725188745</v>
      </c>
      <c r="J435" s="18">
        <f t="shared" si="2"/>
        <v>0.21161395725188745</v>
      </c>
      <c r="K435" s="11"/>
    </row>
    <row r="436" spans="1:11">
      <c r="A436" s="4">
        <v>26</v>
      </c>
      <c r="B436" s="4" t="s">
        <v>7</v>
      </c>
      <c r="C436" s="4" t="s">
        <v>15</v>
      </c>
      <c r="D436" s="4" t="s">
        <v>12</v>
      </c>
      <c r="E436" s="4" t="s">
        <v>16</v>
      </c>
      <c r="F436" s="4">
        <v>84</v>
      </c>
      <c r="G436" s="5">
        <v>421.67999999999995</v>
      </c>
      <c r="H436" s="17">
        <f t="shared" si="0"/>
        <v>573.70839999999998</v>
      </c>
      <c r="I436" s="18">
        <f t="shared" si="1"/>
        <v>0.36053025991273013</v>
      </c>
      <c r="J436" s="18">
        <f t="shared" si="2"/>
        <v>0.36053025991273013</v>
      </c>
      <c r="K436" s="11"/>
    </row>
    <row r="437" spans="1:11">
      <c r="A437" s="4">
        <v>27</v>
      </c>
      <c r="B437" s="4" t="s">
        <v>7</v>
      </c>
      <c r="C437" s="4" t="s">
        <v>15</v>
      </c>
      <c r="D437" s="4" t="s">
        <v>12</v>
      </c>
      <c r="E437" s="4" t="s">
        <v>16</v>
      </c>
      <c r="F437" s="4">
        <v>85</v>
      </c>
      <c r="G437" s="5">
        <v>725.39</v>
      </c>
      <c r="H437" s="17">
        <f t="shared" si="0"/>
        <v>582.00599999999997</v>
      </c>
      <c r="I437" s="18">
        <f t="shared" si="1"/>
        <v>-0.19766470450378421</v>
      </c>
      <c r="J437" s="18">
        <f t="shared" si="2"/>
        <v>0.19766470450378421</v>
      </c>
      <c r="K437" s="11"/>
    </row>
    <row r="438" spans="1:11">
      <c r="A438" s="4">
        <v>30</v>
      </c>
      <c r="B438" s="4" t="s">
        <v>7</v>
      </c>
      <c r="C438" s="4" t="s">
        <v>15</v>
      </c>
      <c r="D438" s="4" t="s">
        <v>12</v>
      </c>
      <c r="E438" s="4" t="s">
        <v>16</v>
      </c>
      <c r="F438" s="4">
        <v>90</v>
      </c>
      <c r="G438" s="5">
        <v>406.61999999999995</v>
      </c>
      <c r="H438" s="17">
        <f t="shared" si="0"/>
        <v>623.49399999999991</v>
      </c>
      <c r="I438" s="18">
        <f t="shared" si="1"/>
        <v>0.5333579263194137</v>
      </c>
      <c r="J438" s="18">
        <f t="shared" si="2"/>
        <v>0.5333579263194137</v>
      </c>
      <c r="K438" s="11"/>
    </row>
    <row r="439" spans="1:11">
      <c r="A439" s="4">
        <v>32</v>
      </c>
      <c r="B439" s="4" t="s">
        <v>7</v>
      </c>
      <c r="C439" s="4" t="s">
        <v>15</v>
      </c>
      <c r="D439" s="4" t="s">
        <v>12</v>
      </c>
      <c r="E439" s="4" t="s">
        <v>16</v>
      </c>
      <c r="F439" s="4">
        <v>92</v>
      </c>
      <c r="G439" s="5">
        <v>831.31200000000001</v>
      </c>
      <c r="H439" s="17">
        <f t="shared" si="0"/>
        <v>640.08920000000001</v>
      </c>
      <c r="I439" s="18">
        <f t="shared" si="1"/>
        <v>-0.23002530939045751</v>
      </c>
      <c r="J439" s="18">
        <f t="shared" si="2"/>
        <v>0.23002530939045751</v>
      </c>
      <c r="K439" s="11"/>
    </row>
    <row r="440" spans="1:11">
      <c r="A440" s="4">
        <v>33</v>
      </c>
      <c r="B440" s="4" t="s">
        <v>7</v>
      </c>
      <c r="C440" s="4" t="s">
        <v>15</v>
      </c>
      <c r="D440" s="4" t="s">
        <v>12</v>
      </c>
      <c r="E440" s="4" t="s">
        <v>16</v>
      </c>
      <c r="F440" s="4">
        <v>100</v>
      </c>
      <c r="G440" s="5">
        <v>702.79999999999984</v>
      </c>
      <c r="H440" s="17">
        <f t="shared" si="0"/>
        <v>706.46999999999991</v>
      </c>
      <c r="I440" s="18">
        <f t="shared" si="1"/>
        <v>5.2219692657940716E-3</v>
      </c>
      <c r="J440" s="18">
        <f t="shared" si="2"/>
        <v>5.2219692657940716E-3</v>
      </c>
      <c r="K440" s="11"/>
    </row>
    <row r="441" spans="1:11">
      <c r="A441" s="22">
        <v>35</v>
      </c>
      <c r="B441" s="4" t="s">
        <v>7</v>
      </c>
      <c r="C441" s="4" t="s">
        <v>15</v>
      </c>
      <c r="D441" s="4" t="s">
        <v>12</v>
      </c>
      <c r="E441" s="4" t="s">
        <v>16</v>
      </c>
      <c r="F441" s="4">
        <v>102</v>
      </c>
      <c r="G441" s="5">
        <v>921.67199999999991</v>
      </c>
      <c r="H441" s="17">
        <f t="shared" si="0"/>
        <v>723.0652</v>
      </c>
      <c r="I441" s="18">
        <f t="shared" si="1"/>
        <v>-0.21548533534706482</v>
      </c>
      <c r="J441" s="18">
        <f t="shared" si="2"/>
        <v>0.21548533534706482</v>
      </c>
      <c r="K441" s="11"/>
    </row>
    <row r="442" spans="1:11">
      <c r="A442" s="22">
        <v>37</v>
      </c>
      <c r="B442" s="4" t="s">
        <v>7</v>
      </c>
      <c r="C442" s="4" t="s">
        <v>15</v>
      </c>
      <c r="D442" s="4" t="s">
        <v>12</v>
      </c>
      <c r="E442" s="4" t="s">
        <v>16</v>
      </c>
      <c r="F442" s="4">
        <v>108</v>
      </c>
      <c r="G442" s="5">
        <v>650.59199999999998</v>
      </c>
      <c r="H442" s="17">
        <f t="shared" si="0"/>
        <v>772.85079999999994</v>
      </c>
      <c r="I442" s="18">
        <f t="shared" si="1"/>
        <v>0.18791931041267024</v>
      </c>
      <c r="J442" s="18">
        <f t="shared" si="2"/>
        <v>0.18791931041267024</v>
      </c>
      <c r="K442" s="11"/>
    </row>
    <row r="443" spans="1:11">
      <c r="A443" s="22">
        <v>43</v>
      </c>
      <c r="B443" s="4" t="s">
        <v>7</v>
      </c>
      <c r="C443" s="4" t="s">
        <v>15</v>
      </c>
      <c r="D443" s="4" t="s">
        <v>12</v>
      </c>
      <c r="E443" s="4" t="s">
        <v>16</v>
      </c>
      <c r="F443" s="4">
        <v>115</v>
      </c>
      <c r="G443" s="5">
        <v>692.75999999999988</v>
      </c>
      <c r="H443" s="17">
        <f t="shared" si="0"/>
        <v>830.93399999999997</v>
      </c>
      <c r="I443" s="18">
        <f t="shared" si="1"/>
        <v>0.19945435648709525</v>
      </c>
      <c r="J443" s="18">
        <f t="shared" si="2"/>
        <v>0.19945435648709525</v>
      </c>
      <c r="K443" s="11"/>
    </row>
    <row r="444" spans="1:11">
      <c r="A444" s="22">
        <v>45</v>
      </c>
      <c r="B444" s="4" t="s">
        <v>7</v>
      </c>
      <c r="C444" s="4" t="s">
        <v>15</v>
      </c>
      <c r="D444" s="4" t="s">
        <v>12</v>
      </c>
      <c r="E444" s="4" t="s">
        <v>16</v>
      </c>
      <c r="F444" s="4">
        <v>117</v>
      </c>
      <c r="G444" s="5">
        <v>728.30159999999989</v>
      </c>
      <c r="H444" s="17">
        <f t="shared" si="0"/>
        <v>847.52919999999995</v>
      </c>
      <c r="I444" s="18">
        <f t="shared" si="1"/>
        <v>0.16370635462011901</v>
      </c>
      <c r="J444" s="18">
        <f t="shared" si="2"/>
        <v>0.16370635462011901</v>
      </c>
      <c r="K444" s="11"/>
    </row>
    <row r="445" spans="1:11">
      <c r="A445" s="22">
        <v>46</v>
      </c>
      <c r="B445" s="4" t="s">
        <v>7</v>
      </c>
      <c r="C445" s="4" t="s">
        <v>15</v>
      </c>
      <c r="D445" s="4" t="s">
        <v>12</v>
      </c>
      <c r="E445" s="4" t="s">
        <v>16</v>
      </c>
      <c r="F445" s="4">
        <v>117</v>
      </c>
      <c r="G445" s="5">
        <v>998.47799999999984</v>
      </c>
      <c r="H445" s="17">
        <f t="shared" si="0"/>
        <v>847.52919999999995</v>
      </c>
      <c r="I445" s="18">
        <f t="shared" si="1"/>
        <v>-0.15117889427708964</v>
      </c>
      <c r="J445" s="18">
        <f t="shared" si="2"/>
        <v>0.15117889427708964</v>
      </c>
      <c r="K445" s="11"/>
    </row>
    <row r="446" spans="1:11">
      <c r="A446" s="22">
        <v>49</v>
      </c>
      <c r="B446" s="4" t="s">
        <v>7</v>
      </c>
      <c r="C446" s="4" t="s">
        <v>15</v>
      </c>
      <c r="D446" s="4" t="s">
        <v>12</v>
      </c>
      <c r="E446" s="4" t="s">
        <v>16</v>
      </c>
      <c r="F446" s="4">
        <v>125</v>
      </c>
      <c r="G446" s="5">
        <v>1004</v>
      </c>
      <c r="H446" s="17">
        <f t="shared" si="0"/>
        <v>913.90999999999985</v>
      </c>
      <c r="I446" s="18">
        <f t="shared" si="1"/>
        <v>-8.9731075697211296E-2</v>
      </c>
      <c r="J446" s="18">
        <f t="shared" si="2"/>
        <v>8.9731075697211296E-2</v>
      </c>
      <c r="K446" s="11"/>
    </row>
    <row r="447" spans="1:11">
      <c r="A447" s="22">
        <v>51</v>
      </c>
      <c r="B447" s="4" t="s">
        <v>7</v>
      </c>
      <c r="C447" s="4" t="s">
        <v>15</v>
      </c>
      <c r="D447" s="4" t="s">
        <v>12</v>
      </c>
      <c r="E447" s="4" t="s">
        <v>16</v>
      </c>
      <c r="F447" s="4">
        <v>127</v>
      </c>
      <c r="G447" s="5">
        <v>1020.064</v>
      </c>
      <c r="H447" s="17">
        <f t="shared" si="0"/>
        <v>930.50519999999983</v>
      </c>
      <c r="I447" s="18">
        <f t="shared" si="1"/>
        <v>-8.7797236251843158E-2</v>
      </c>
      <c r="J447" s="18">
        <f t="shared" si="2"/>
        <v>8.7797236251843158E-2</v>
      </c>
      <c r="K447" s="11"/>
    </row>
    <row r="448" spans="1:11">
      <c r="A448" s="22">
        <v>52</v>
      </c>
      <c r="B448" s="4" t="s">
        <v>7</v>
      </c>
      <c r="C448" s="4" t="s">
        <v>15</v>
      </c>
      <c r="D448" s="4" t="s">
        <v>12</v>
      </c>
      <c r="E448" s="4" t="s">
        <v>16</v>
      </c>
      <c r="F448" s="6">
        <v>135</v>
      </c>
      <c r="G448" s="6">
        <v>1053</v>
      </c>
      <c r="H448" s="17">
        <f t="shared" si="0"/>
        <v>996.88599999999997</v>
      </c>
      <c r="I448" s="18">
        <f t="shared" si="1"/>
        <v>-5.3289648622981987E-2</v>
      </c>
      <c r="J448" s="18">
        <f t="shared" si="2"/>
        <v>5.3289648622981987E-2</v>
      </c>
      <c r="K448" s="11"/>
    </row>
    <row r="449" spans="1:11">
      <c r="A449" s="22">
        <v>54</v>
      </c>
      <c r="B449" s="4" t="s">
        <v>7</v>
      </c>
      <c r="C449" s="4" t="s">
        <v>15</v>
      </c>
      <c r="D449" s="4" t="s">
        <v>12</v>
      </c>
      <c r="E449" s="4" t="s">
        <v>16</v>
      </c>
      <c r="F449" s="4">
        <v>136</v>
      </c>
      <c r="G449" s="5">
        <v>1024.08</v>
      </c>
      <c r="H449" s="17">
        <f t="shared" si="0"/>
        <v>1005.1835999999998</v>
      </c>
      <c r="I449" s="18">
        <f t="shared" si="1"/>
        <v>-1.8452074056714403E-2</v>
      </c>
      <c r="J449" s="18">
        <f t="shared" si="2"/>
        <v>1.8452074056714403E-2</v>
      </c>
      <c r="K449" s="11"/>
    </row>
    <row r="450" spans="1:11">
      <c r="A450" s="22">
        <v>55</v>
      </c>
      <c r="B450" s="4" t="s">
        <v>7</v>
      </c>
      <c r="C450" s="4" t="s">
        <v>15</v>
      </c>
      <c r="D450" s="4" t="s">
        <v>12</v>
      </c>
      <c r="E450" s="4" t="s">
        <v>16</v>
      </c>
      <c r="F450" s="4">
        <v>143</v>
      </c>
      <c r="G450" s="5">
        <v>861.4319999999999</v>
      </c>
      <c r="H450" s="17">
        <f t="shared" si="0"/>
        <v>1063.2667999999999</v>
      </c>
      <c r="I450" s="18">
        <f t="shared" si="1"/>
        <v>0.23430148868395881</v>
      </c>
      <c r="J450" s="18">
        <f t="shared" si="2"/>
        <v>0.23430148868395881</v>
      </c>
      <c r="K450" s="11"/>
    </row>
    <row r="451" spans="1:11">
      <c r="A451" s="22">
        <v>59</v>
      </c>
      <c r="B451" s="4" t="s">
        <v>7</v>
      </c>
      <c r="C451" s="4" t="s">
        <v>15</v>
      </c>
      <c r="D451" s="4" t="s">
        <v>12</v>
      </c>
      <c r="E451" s="4" t="s">
        <v>16</v>
      </c>
      <c r="F451" s="4">
        <v>153</v>
      </c>
      <c r="G451" s="5">
        <v>1228.896</v>
      </c>
      <c r="H451" s="17">
        <f t="shared" si="0"/>
        <v>1146.2428</v>
      </c>
      <c r="I451" s="18">
        <f t="shared" ref="I451:I453" si="3">(H451-G451)/G451</f>
        <v>-6.7258091815743534E-2</v>
      </c>
      <c r="J451" s="18">
        <f t="shared" ref="J451:J453" si="4">ABS(I451)</f>
        <v>6.7258091815743534E-2</v>
      </c>
      <c r="K451" s="11"/>
    </row>
    <row r="452" spans="1:11">
      <c r="A452" s="22">
        <v>60</v>
      </c>
      <c r="B452" s="4" t="s">
        <v>7</v>
      </c>
      <c r="C452" s="4" t="s">
        <v>15</v>
      </c>
      <c r="D452" s="4" t="s">
        <v>12</v>
      </c>
      <c r="E452" s="4" t="s">
        <v>16</v>
      </c>
      <c r="F452" s="6">
        <v>156</v>
      </c>
      <c r="G452" s="6">
        <v>1025</v>
      </c>
      <c r="H452" s="17">
        <f t="shared" si="0"/>
        <v>1171.1355999999998</v>
      </c>
      <c r="I452" s="18">
        <f t="shared" si="3"/>
        <v>0.14257131707317058</v>
      </c>
      <c r="J452" s="18">
        <f t="shared" si="4"/>
        <v>0.14257131707317058</v>
      </c>
      <c r="K452" s="11"/>
    </row>
    <row r="453" spans="1:11">
      <c r="A453" s="22">
        <v>63</v>
      </c>
      <c r="B453" s="4" t="s">
        <v>7</v>
      </c>
      <c r="C453" s="4" t="s">
        <v>15</v>
      </c>
      <c r="D453" s="4" t="s">
        <v>12</v>
      </c>
      <c r="E453" s="4" t="s">
        <v>16</v>
      </c>
      <c r="F453" s="4">
        <v>162</v>
      </c>
      <c r="G453" s="5">
        <v>1305</v>
      </c>
      <c r="H453" s="17">
        <f t="shared" si="0"/>
        <v>1220.9212</v>
      </c>
      <c r="I453" s="18">
        <f t="shared" si="3"/>
        <v>-6.4428199233716482E-2</v>
      </c>
      <c r="J453" s="18">
        <f t="shared" si="4"/>
        <v>6.4428199233716482E-2</v>
      </c>
      <c r="K453" s="11"/>
    </row>
    <row r="454" spans="1:11">
      <c r="A454" s="19"/>
      <c r="B454" s="19"/>
    </row>
    <row r="458" spans="1:11" s="38" customFormat="1"/>
    <row r="459" spans="1:11" s="38" customFormat="1"/>
    <row r="460" spans="1:11" s="38" customFormat="1"/>
    <row r="461" spans="1:11" s="38" customFormat="1"/>
    <row r="462" spans="1:11" s="38" customFormat="1"/>
    <row r="463" spans="1:11" s="38" customFormat="1"/>
    <row r="464" spans="1:11" s="38" customFormat="1"/>
    <row r="465" spans="2:5" s="38" customFormat="1"/>
    <row r="466" spans="2:5" s="38" customFormat="1"/>
    <row r="467" spans="2:5" s="38" customFormat="1"/>
    <row r="468" spans="2:5" s="38" customFormat="1">
      <c r="B468" s="39"/>
    </row>
    <row r="469" spans="2:5" s="38" customFormat="1"/>
    <row r="470" spans="2:5" s="38" customFormat="1"/>
    <row r="471" spans="2:5" s="38" customFormat="1"/>
    <row r="472" spans="2:5" s="38" customFormat="1"/>
    <row r="473" spans="2:5" s="38" customFormat="1">
      <c r="B473" s="39"/>
      <c r="E473" s="40"/>
    </row>
    <row r="474" spans="2:5" s="38" customFormat="1"/>
    <row r="475" spans="2:5" s="38" customFormat="1"/>
    <row r="476" spans="2:5" s="38" customFormat="1"/>
    <row r="477" spans="2:5" s="38" customFormat="1"/>
    <row r="478" spans="2:5" s="38" customFormat="1">
      <c r="B478" s="39"/>
    </row>
    <row r="479" spans="2:5" s="38" customFormat="1"/>
    <row r="480" spans="2:5" s="38" customFormat="1"/>
    <row r="481" s="38" customFormat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BC43-6DA5-9C4C-89FA-F1020C8FBB03}">
  <dimension ref="A2:K155"/>
  <sheetViews>
    <sheetView topLeftCell="A118" zoomScale="125" workbookViewId="0">
      <selection activeCell="A132" sqref="A132:XFD155"/>
    </sheetView>
  </sheetViews>
  <sheetFormatPr baseColWidth="10" defaultColWidth="10.6640625" defaultRowHeight="16"/>
  <sheetData>
    <row r="2" spans="1:8">
      <c r="A2" t="s">
        <v>58</v>
      </c>
      <c r="H2" t="s">
        <v>57</v>
      </c>
    </row>
    <row r="21" spans="1:7" ht="32">
      <c r="A21" s="1" t="s">
        <v>0</v>
      </c>
      <c r="B21" s="23" t="s">
        <v>1</v>
      </c>
      <c r="C21" s="24" t="s">
        <v>2</v>
      </c>
      <c r="D21" s="24" t="s">
        <v>3</v>
      </c>
      <c r="E21" s="25" t="s">
        <v>4</v>
      </c>
      <c r="F21" s="26" t="s">
        <v>5</v>
      </c>
      <c r="G21" s="26" t="s">
        <v>6</v>
      </c>
    </row>
    <row r="22" spans="1:7">
      <c r="A22" s="27">
        <v>6</v>
      </c>
      <c r="B22" s="28" t="s">
        <v>11</v>
      </c>
      <c r="C22" s="29" t="s">
        <v>8</v>
      </c>
      <c r="D22" s="29" t="s">
        <v>9</v>
      </c>
      <c r="E22" s="28" t="s">
        <v>10</v>
      </c>
      <c r="F22" s="29">
        <v>51</v>
      </c>
      <c r="G22" s="29">
        <v>52</v>
      </c>
    </row>
    <row r="23" spans="1:7">
      <c r="A23" s="27">
        <v>18</v>
      </c>
      <c r="B23" s="28" t="s">
        <v>11</v>
      </c>
      <c r="C23" s="29" t="s">
        <v>8</v>
      </c>
      <c r="D23" s="29" t="s">
        <v>9</v>
      </c>
      <c r="E23" s="28" t="s">
        <v>10</v>
      </c>
      <c r="F23" s="29">
        <v>79</v>
      </c>
      <c r="G23" s="29">
        <v>142</v>
      </c>
    </row>
    <row r="24" spans="1:7">
      <c r="A24" s="27">
        <v>20</v>
      </c>
      <c r="B24" s="28" t="s">
        <v>11</v>
      </c>
      <c r="C24" s="28" t="s">
        <v>15</v>
      </c>
      <c r="D24" s="29" t="s">
        <v>9</v>
      </c>
      <c r="E24" s="28" t="s">
        <v>10</v>
      </c>
      <c r="F24" s="28">
        <v>80</v>
      </c>
      <c r="G24" s="28">
        <v>260</v>
      </c>
    </row>
    <row r="25" spans="1:7">
      <c r="A25" s="27">
        <v>22</v>
      </c>
      <c r="B25" s="28" t="s">
        <v>11</v>
      </c>
      <c r="C25" s="29" t="s">
        <v>8</v>
      </c>
      <c r="D25" s="29" t="s">
        <v>9</v>
      </c>
      <c r="E25" s="28" t="s">
        <v>10</v>
      </c>
      <c r="F25" s="29">
        <v>81</v>
      </c>
      <c r="G25" s="29">
        <v>190</v>
      </c>
    </row>
    <row r="26" spans="1:7">
      <c r="A26" s="27">
        <v>28</v>
      </c>
      <c r="B26" s="28" t="s">
        <v>11</v>
      </c>
      <c r="C26" s="29" t="s">
        <v>8</v>
      </c>
      <c r="D26" s="29" t="s">
        <v>9</v>
      </c>
      <c r="E26" s="28" t="s">
        <v>10</v>
      </c>
      <c r="F26" s="29">
        <v>87</v>
      </c>
      <c r="G26" s="29">
        <v>170</v>
      </c>
    </row>
    <row r="27" spans="1:7">
      <c r="A27" s="27">
        <v>29</v>
      </c>
      <c r="B27" s="28" t="s">
        <v>11</v>
      </c>
      <c r="C27" s="29" t="s">
        <v>8</v>
      </c>
      <c r="D27" s="29" t="s">
        <v>9</v>
      </c>
      <c r="E27" s="28" t="s">
        <v>10</v>
      </c>
      <c r="F27" s="29">
        <v>90</v>
      </c>
      <c r="G27" s="29">
        <v>189</v>
      </c>
    </row>
    <row r="28" spans="1:7">
      <c r="A28" s="27">
        <v>34</v>
      </c>
      <c r="B28" s="28" t="s">
        <v>11</v>
      </c>
      <c r="C28" s="29" t="s">
        <v>8</v>
      </c>
      <c r="D28" s="29" t="s">
        <v>9</v>
      </c>
      <c r="E28" s="28" t="s">
        <v>10</v>
      </c>
      <c r="F28" s="29">
        <v>102</v>
      </c>
      <c r="G28" s="29">
        <v>200</v>
      </c>
    </row>
    <row r="29" spans="1:7">
      <c r="A29" s="27">
        <v>53</v>
      </c>
      <c r="B29" s="28" t="s">
        <v>11</v>
      </c>
      <c r="C29" s="29" t="s">
        <v>8</v>
      </c>
      <c r="D29" s="29" t="s">
        <v>9</v>
      </c>
      <c r="E29" s="28" t="s">
        <v>10</v>
      </c>
      <c r="F29" s="29">
        <v>136</v>
      </c>
      <c r="G29" s="29">
        <v>220</v>
      </c>
    </row>
    <row r="30" spans="1:7">
      <c r="A30" s="27">
        <v>56</v>
      </c>
      <c r="B30" s="28" t="s">
        <v>11</v>
      </c>
      <c r="C30" s="29" t="s">
        <v>8</v>
      </c>
      <c r="D30" s="29" t="s">
        <v>9</v>
      </c>
      <c r="E30" s="28" t="s">
        <v>10</v>
      </c>
      <c r="F30" s="29">
        <v>148</v>
      </c>
      <c r="G30" s="29">
        <v>186</v>
      </c>
    </row>
    <row r="31" spans="1:7">
      <c r="A31" s="27">
        <v>57</v>
      </c>
      <c r="B31" s="28" t="s">
        <v>11</v>
      </c>
      <c r="C31" s="29" t="s">
        <v>8</v>
      </c>
      <c r="D31" s="29" t="s">
        <v>9</v>
      </c>
      <c r="E31" s="28" t="s">
        <v>10</v>
      </c>
      <c r="F31" s="29">
        <v>152</v>
      </c>
      <c r="G31" s="29">
        <v>237</v>
      </c>
    </row>
    <row r="32" spans="1:7">
      <c r="A32" s="27">
        <v>62</v>
      </c>
      <c r="B32" s="28" t="s">
        <v>11</v>
      </c>
      <c r="C32" s="29" t="s">
        <v>8</v>
      </c>
      <c r="D32" s="29" t="s">
        <v>9</v>
      </c>
      <c r="E32" s="28" t="s">
        <v>10</v>
      </c>
      <c r="F32" s="29">
        <v>160</v>
      </c>
      <c r="G32" s="29">
        <v>242</v>
      </c>
    </row>
    <row r="33" spans="1:10">
      <c r="A33" s="27">
        <v>65</v>
      </c>
      <c r="B33" s="28" t="s">
        <v>11</v>
      </c>
      <c r="C33" s="29" t="s">
        <v>8</v>
      </c>
      <c r="D33" s="29" t="s">
        <v>9</v>
      </c>
      <c r="E33" s="28" t="s">
        <v>10</v>
      </c>
      <c r="F33" s="29">
        <v>169</v>
      </c>
      <c r="G33" s="29">
        <v>215</v>
      </c>
    </row>
    <row r="35" spans="1:10">
      <c r="A35" t="s">
        <v>18</v>
      </c>
    </row>
    <row r="36" spans="1:10" ht="20">
      <c r="A36" s="13" t="s">
        <v>19</v>
      </c>
    </row>
    <row r="37" spans="1:10" ht="17">
      <c r="A37" s="14" t="s">
        <v>20</v>
      </c>
      <c r="B37" s="14" t="s">
        <v>21</v>
      </c>
      <c r="C37" s="14" t="s">
        <v>22</v>
      </c>
      <c r="D37" s="14" t="s">
        <v>23</v>
      </c>
      <c r="E37" s="14" t="s">
        <v>24</v>
      </c>
      <c r="F37" s="14" t="s">
        <v>25</v>
      </c>
      <c r="G37" s="14" t="s">
        <v>26</v>
      </c>
      <c r="H37" s="14"/>
      <c r="J37" s="14"/>
    </row>
    <row r="38" spans="1:10" ht="17">
      <c r="A38" s="14" t="s">
        <v>5</v>
      </c>
      <c r="B38" s="14">
        <v>12</v>
      </c>
      <c r="C38" s="14">
        <v>111.25</v>
      </c>
      <c r="D38" s="14">
        <v>39.340000000000003</v>
      </c>
      <c r="E38" s="14">
        <v>51</v>
      </c>
      <c r="F38" s="14">
        <v>96</v>
      </c>
      <c r="G38" s="14">
        <v>169</v>
      </c>
      <c r="H38" s="14"/>
      <c r="J38" s="14"/>
    </row>
    <row r="40" spans="1:10" ht="20">
      <c r="A40" s="13" t="s">
        <v>19</v>
      </c>
    </row>
    <row r="41" spans="1:10" ht="17">
      <c r="A41" s="14" t="s">
        <v>20</v>
      </c>
      <c r="B41" s="14" t="s">
        <v>21</v>
      </c>
      <c r="C41" s="14" t="s">
        <v>22</v>
      </c>
      <c r="D41" s="14" t="s">
        <v>23</v>
      </c>
      <c r="E41" s="14" t="s">
        <v>24</v>
      </c>
      <c r="F41" s="14" t="s">
        <v>25</v>
      </c>
      <c r="G41" s="14" t="s">
        <v>26</v>
      </c>
      <c r="H41" s="14"/>
      <c r="J41" s="14"/>
    </row>
    <row r="42" spans="1:10" ht="17">
      <c r="A42" s="14" t="s">
        <v>6</v>
      </c>
      <c r="B42" s="14">
        <v>12</v>
      </c>
      <c r="C42" s="14">
        <v>191.92</v>
      </c>
      <c r="D42" s="14">
        <v>54.9</v>
      </c>
      <c r="E42" s="14">
        <v>52</v>
      </c>
      <c r="F42" s="14">
        <v>195</v>
      </c>
      <c r="G42" s="14">
        <v>260</v>
      </c>
      <c r="H42" s="14"/>
      <c r="J42" s="14"/>
    </row>
    <row r="45" spans="1:10">
      <c r="A45" t="s">
        <v>28</v>
      </c>
    </row>
    <row r="46" spans="1:10" ht="20">
      <c r="A46" s="13" t="s">
        <v>29</v>
      </c>
    </row>
    <row r="47" spans="1:10" ht="17">
      <c r="A47" s="14" t="s">
        <v>30</v>
      </c>
      <c r="B47" s="14" t="s">
        <v>6</v>
      </c>
      <c r="C47" s="14"/>
      <c r="D47" s="14"/>
      <c r="E47" s="14"/>
      <c r="F47" s="14"/>
    </row>
    <row r="48" spans="1:10" ht="17">
      <c r="A48" s="14">
        <v>1</v>
      </c>
      <c r="B48" s="14">
        <v>52</v>
      </c>
      <c r="C48" s="14"/>
      <c r="D48" s="14"/>
      <c r="E48" s="14"/>
      <c r="F48" s="14"/>
    </row>
    <row r="49" spans="1:8" ht="17">
      <c r="A49" s="14">
        <v>3</v>
      </c>
      <c r="B49" s="14">
        <v>260</v>
      </c>
      <c r="C49" s="14"/>
      <c r="D49" s="14"/>
      <c r="E49" s="14"/>
      <c r="F49" s="14"/>
    </row>
    <row r="50" spans="1:8" ht="17">
      <c r="A50" s="16"/>
    </row>
    <row r="52" spans="1:8" ht="32">
      <c r="A52" s="1" t="s">
        <v>0</v>
      </c>
      <c r="B52" s="23" t="s">
        <v>1</v>
      </c>
      <c r="C52" s="24" t="s">
        <v>2</v>
      </c>
      <c r="D52" s="24" t="s">
        <v>3</v>
      </c>
      <c r="E52" s="25" t="s">
        <v>4</v>
      </c>
      <c r="F52" s="26" t="s">
        <v>5</v>
      </c>
      <c r="G52" s="26" t="s">
        <v>6</v>
      </c>
    </row>
    <row r="53" spans="1:8">
      <c r="A53" s="27">
        <v>6</v>
      </c>
      <c r="B53" s="28" t="s">
        <v>11</v>
      </c>
      <c r="C53" s="29" t="s">
        <v>8</v>
      </c>
      <c r="D53" s="29" t="s">
        <v>9</v>
      </c>
      <c r="E53" s="28" t="s">
        <v>10</v>
      </c>
      <c r="F53" s="29">
        <v>51</v>
      </c>
      <c r="G53" s="29">
        <v>52</v>
      </c>
      <c r="H53" s="31" t="s">
        <v>44</v>
      </c>
    </row>
    <row r="54" spans="1:8">
      <c r="A54" s="27">
        <v>18</v>
      </c>
      <c r="B54" s="28" t="s">
        <v>11</v>
      </c>
      <c r="C54" s="29" t="s">
        <v>8</v>
      </c>
      <c r="D54" s="29" t="s">
        <v>9</v>
      </c>
      <c r="E54" s="28" t="s">
        <v>10</v>
      </c>
      <c r="F54" s="29">
        <v>79</v>
      </c>
      <c r="G54" s="29">
        <v>142</v>
      </c>
    </row>
    <row r="55" spans="1:8">
      <c r="A55" s="27">
        <v>20</v>
      </c>
      <c r="B55" s="28" t="s">
        <v>11</v>
      </c>
      <c r="C55" s="28" t="s">
        <v>15</v>
      </c>
      <c r="D55" s="29" t="s">
        <v>9</v>
      </c>
      <c r="E55" s="28" t="s">
        <v>10</v>
      </c>
      <c r="F55" s="28">
        <v>80</v>
      </c>
      <c r="G55" s="28">
        <v>260</v>
      </c>
      <c r="H55" s="31" t="s">
        <v>44</v>
      </c>
    </row>
    <row r="56" spans="1:8">
      <c r="A56" s="27">
        <v>22</v>
      </c>
      <c r="B56" s="28" t="s">
        <v>11</v>
      </c>
      <c r="C56" s="29" t="s">
        <v>8</v>
      </c>
      <c r="D56" s="29" t="s">
        <v>9</v>
      </c>
      <c r="E56" s="28" t="s">
        <v>10</v>
      </c>
      <c r="F56" s="29">
        <v>81</v>
      </c>
      <c r="G56" s="29">
        <v>190</v>
      </c>
    </row>
    <row r="57" spans="1:8">
      <c r="A57" s="27">
        <v>28</v>
      </c>
      <c r="B57" s="28" t="s">
        <v>11</v>
      </c>
      <c r="C57" s="29" t="s">
        <v>8</v>
      </c>
      <c r="D57" s="29" t="s">
        <v>9</v>
      </c>
      <c r="E57" s="28" t="s">
        <v>10</v>
      </c>
      <c r="F57" s="29">
        <v>87</v>
      </c>
      <c r="G57" s="29">
        <v>170</v>
      </c>
    </row>
    <row r="58" spans="1:8">
      <c r="A58" s="27">
        <v>29</v>
      </c>
      <c r="B58" s="28" t="s">
        <v>11</v>
      </c>
      <c r="C58" s="29" t="s">
        <v>8</v>
      </c>
      <c r="D58" s="29" t="s">
        <v>9</v>
      </c>
      <c r="E58" s="28" t="s">
        <v>10</v>
      </c>
      <c r="F58" s="29">
        <v>90</v>
      </c>
      <c r="G58" s="29">
        <v>189</v>
      </c>
    </row>
    <row r="59" spans="1:8">
      <c r="A59" s="27">
        <v>34</v>
      </c>
      <c r="B59" s="28" t="s">
        <v>11</v>
      </c>
      <c r="C59" s="29" t="s">
        <v>8</v>
      </c>
      <c r="D59" s="29" t="s">
        <v>9</v>
      </c>
      <c r="E59" s="28" t="s">
        <v>10</v>
      </c>
      <c r="F59" s="29">
        <v>102</v>
      </c>
      <c r="G59" s="29">
        <v>200</v>
      </c>
    </row>
    <row r="60" spans="1:8">
      <c r="A60" s="27">
        <v>53</v>
      </c>
      <c r="B60" s="28" t="s">
        <v>11</v>
      </c>
      <c r="C60" s="29" t="s">
        <v>8</v>
      </c>
      <c r="D60" s="29" t="s">
        <v>9</v>
      </c>
      <c r="E60" s="28" t="s">
        <v>10</v>
      </c>
      <c r="F60" s="29">
        <v>136</v>
      </c>
      <c r="G60" s="29">
        <v>220</v>
      </c>
    </row>
    <row r="61" spans="1:8">
      <c r="A61" s="27">
        <v>56</v>
      </c>
      <c r="B61" s="28" t="s">
        <v>11</v>
      </c>
      <c r="C61" s="29" t="s">
        <v>8</v>
      </c>
      <c r="D61" s="29" t="s">
        <v>9</v>
      </c>
      <c r="E61" s="28" t="s">
        <v>10</v>
      </c>
      <c r="F61" s="29">
        <v>148</v>
      </c>
      <c r="G61" s="29">
        <v>186</v>
      </c>
    </row>
    <row r="62" spans="1:8">
      <c r="A62" s="27">
        <v>57</v>
      </c>
      <c r="B62" s="28" t="s">
        <v>11</v>
      </c>
      <c r="C62" s="29" t="s">
        <v>8</v>
      </c>
      <c r="D62" s="29" t="s">
        <v>9</v>
      </c>
      <c r="E62" s="28" t="s">
        <v>10</v>
      </c>
      <c r="F62" s="29">
        <v>152</v>
      </c>
      <c r="G62" s="29">
        <v>237</v>
      </c>
    </row>
    <row r="63" spans="1:8">
      <c r="A63" s="27">
        <v>62</v>
      </c>
      <c r="B63" s="28" t="s">
        <v>11</v>
      </c>
      <c r="C63" s="29" t="s">
        <v>8</v>
      </c>
      <c r="D63" s="29" t="s">
        <v>9</v>
      </c>
      <c r="E63" s="28" t="s">
        <v>10</v>
      </c>
      <c r="F63" s="29">
        <v>160</v>
      </c>
      <c r="G63" s="29">
        <v>242</v>
      </c>
    </row>
    <row r="64" spans="1:8">
      <c r="A64" s="27">
        <v>65</v>
      </c>
      <c r="B64" s="28" t="s">
        <v>11</v>
      </c>
      <c r="C64" s="29" t="s">
        <v>8</v>
      </c>
      <c r="D64" s="29" t="s">
        <v>9</v>
      </c>
      <c r="E64" s="28" t="s">
        <v>10</v>
      </c>
      <c r="F64" s="29">
        <v>169</v>
      </c>
      <c r="G64" s="29">
        <v>215</v>
      </c>
    </row>
    <row r="67" spans="1:7" ht="32">
      <c r="A67" s="1" t="s">
        <v>0</v>
      </c>
      <c r="B67" s="23" t="s">
        <v>1</v>
      </c>
      <c r="C67" s="24" t="s">
        <v>2</v>
      </c>
      <c r="D67" s="24" t="s">
        <v>3</v>
      </c>
      <c r="E67" s="25" t="s">
        <v>4</v>
      </c>
      <c r="F67" s="26" t="s">
        <v>5</v>
      </c>
      <c r="G67" s="26" t="s">
        <v>6</v>
      </c>
    </row>
    <row r="68" spans="1:7">
      <c r="A68" s="27">
        <v>18</v>
      </c>
      <c r="B68" s="28" t="s">
        <v>11</v>
      </c>
      <c r="C68" s="29" t="s">
        <v>8</v>
      </c>
      <c r="D68" s="29" t="s">
        <v>9</v>
      </c>
      <c r="E68" s="28" t="s">
        <v>10</v>
      </c>
      <c r="F68" s="29">
        <v>79</v>
      </c>
      <c r="G68" s="29">
        <v>142</v>
      </c>
    </row>
    <row r="69" spans="1:7">
      <c r="A69" s="27">
        <v>22</v>
      </c>
      <c r="B69" s="28" t="s">
        <v>11</v>
      </c>
      <c r="C69" s="29" t="s">
        <v>8</v>
      </c>
      <c r="D69" s="29" t="s">
        <v>9</v>
      </c>
      <c r="E69" s="28" t="s">
        <v>10</v>
      </c>
      <c r="F69" s="29">
        <v>81</v>
      </c>
      <c r="G69" s="29">
        <v>190</v>
      </c>
    </row>
    <row r="70" spans="1:7">
      <c r="A70" s="27">
        <v>28</v>
      </c>
      <c r="B70" s="28" t="s">
        <v>11</v>
      </c>
      <c r="C70" s="29" t="s">
        <v>8</v>
      </c>
      <c r="D70" s="29" t="s">
        <v>9</v>
      </c>
      <c r="E70" s="28" t="s">
        <v>10</v>
      </c>
      <c r="F70" s="29">
        <v>87</v>
      </c>
      <c r="G70" s="29">
        <v>170</v>
      </c>
    </row>
    <row r="71" spans="1:7">
      <c r="A71" s="27">
        <v>29</v>
      </c>
      <c r="B71" s="28" t="s">
        <v>11</v>
      </c>
      <c r="C71" s="29" t="s">
        <v>8</v>
      </c>
      <c r="D71" s="29" t="s">
        <v>9</v>
      </c>
      <c r="E71" s="28" t="s">
        <v>10</v>
      </c>
      <c r="F71" s="29">
        <v>90</v>
      </c>
      <c r="G71" s="29">
        <v>189</v>
      </c>
    </row>
    <row r="72" spans="1:7">
      <c r="A72" s="27">
        <v>34</v>
      </c>
      <c r="B72" s="28" t="s">
        <v>11</v>
      </c>
      <c r="C72" s="29" t="s">
        <v>8</v>
      </c>
      <c r="D72" s="29" t="s">
        <v>9</v>
      </c>
      <c r="E72" s="28" t="s">
        <v>10</v>
      </c>
      <c r="F72" s="29">
        <v>102</v>
      </c>
      <c r="G72" s="29">
        <v>200</v>
      </c>
    </row>
    <row r="73" spans="1:7">
      <c r="A73" s="27">
        <v>53</v>
      </c>
      <c r="B73" s="28" t="s">
        <v>11</v>
      </c>
      <c r="C73" s="29" t="s">
        <v>8</v>
      </c>
      <c r="D73" s="29" t="s">
        <v>9</v>
      </c>
      <c r="E73" s="28" t="s">
        <v>10</v>
      </c>
      <c r="F73" s="29">
        <v>136</v>
      </c>
      <c r="G73" s="29">
        <v>220</v>
      </c>
    </row>
    <row r="74" spans="1:7">
      <c r="A74" s="27">
        <v>56</v>
      </c>
      <c r="B74" s="28" t="s">
        <v>11</v>
      </c>
      <c r="C74" s="29" t="s">
        <v>8</v>
      </c>
      <c r="D74" s="29" t="s">
        <v>9</v>
      </c>
      <c r="E74" s="28" t="s">
        <v>10</v>
      </c>
      <c r="F74" s="29">
        <v>148</v>
      </c>
      <c r="G74" s="29">
        <v>186</v>
      </c>
    </row>
    <row r="75" spans="1:7">
      <c r="A75" s="27">
        <v>57</v>
      </c>
      <c r="B75" s="28" t="s">
        <v>11</v>
      </c>
      <c r="C75" s="29" t="s">
        <v>8</v>
      </c>
      <c r="D75" s="29" t="s">
        <v>9</v>
      </c>
      <c r="E75" s="28" t="s">
        <v>10</v>
      </c>
      <c r="F75" s="29">
        <v>152</v>
      </c>
      <c r="G75" s="29">
        <v>237</v>
      </c>
    </row>
    <row r="76" spans="1:7">
      <c r="A76" s="27">
        <v>62</v>
      </c>
      <c r="B76" s="28" t="s">
        <v>11</v>
      </c>
      <c r="C76" s="29" t="s">
        <v>8</v>
      </c>
      <c r="D76" s="29" t="s">
        <v>9</v>
      </c>
      <c r="E76" s="28" t="s">
        <v>10</v>
      </c>
      <c r="F76" s="29">
        <v>160</v>
      </c>
      <c r="G76" s="29">
        <v>242</v>
      </c>
    </row>
    <row r="77" spans="1:7">
      <c r="A77" s="27">
        <v>65</v>
      </c>
      <c r="B77" s="28" t="s">
        <v>11</v>
      </c>
      <c r="C77" s="29" t="s">
        <v>8</v>
      </c>
      <c r="D77" s="29" t="s">
        <v>9</v>
      </c>
      <c r="E77" s="28" t="s">
        <v>10</v>
      </c>
      <c r="F77" s="29">
        <v>169</v>
      </c>
      <c r="G77" s="29">
        <v>215</v>
      </c>
    </row>
    <row r="81" spans="1:4">
      <c r="A81" t="s">
        <v>28</v>
      </c>
    </row>
    <row r="82" spans="1:4">
      <c r="A82" t="s">
        <v>31</v>
      </c>
      <c r="B82" t="s">
        <v>32</v>
      </c>
    </row>
    <row r="83" spans="1:4" ht="20">
      <c r="A83" s="10" t="s">
        <v>33</v>
      </c>
      <c r="D83" s="10" t="s">
        <v>33</v>
      </c>
    </row>
    <row r="84" spans="1:4" ht="20">
      <c r="A84" s="33">
        <v>10</v>
      </c>
      <c r="D84" s="33">
        <v>10</v>
      </c>
    </row>
    <row r="85" spans="1:4" ht="20">
      <c r="A85" s="10" t="s">
        <v>45</v>
      </c>
      <c r="D85" s="10" t="s">
        <v>45</v>
      </c>
    </row>
    <row r="86" spans="1:4" ht="20">
      <c r="A86" s="10">
        <v>1</v>
      </c>
      <c r="D86" s="10">
        <v>1</v>
      </c>
    </row>
    <row r="87" spans="1:4" ht="20">
      <c r="A87" s="10" t="s">
        <v>34</v>
      </c>
      <c r="D87" s="10" t="s">
        <v>34</v>
      </c>
    </row>
    <row r="88" spans="1:4" ht="20">
      <c r="A88" s="10" t="s">
        <v>0</v>
      </c>
      <c r="D88" s="10" t="s">
        <v>0</v>
      </c>
    </row>
    <row r="89" spans="1:4" ht="20">
      <c r="A89" s="10"/>
      <c r="D89" s="10"/>
    </row>
    <row r="90" spans="1:4" ht="20">
      <c r="A90" s="10"/>
      <c r="D90" s="10"/>
    </row>
    <row r="91" spans="1:4" ht="20">
      <c r="A91" s="19" t="s">
        <v>35</v>
      </c>
      <c r="D91" s="10"/>
    </row>
    <row r="92" spans="1:4" ht="20">
      <c r="A92" s="10"/>
      <c r="D92" s="10"/>
    </row>
    <row r="107" spans="1:1" ht="20">
      <c r="A107" s="13" t="s">
        <v>36</v>
      </c>
    </row>
    <row r="108" spans="1:1" ht="17">
      <c r="A108" s="14" t="s">
        <v>37</v>
      </c>
    </row>
    <row r="109" spans="1:1" ht="17">
      <c r="A109" s="15">
        <v>0.54390000000000005</v>
      </c>
    </row>
    <row r="111" spans="1:1" ht="20">
      <c r="A111" s="13" t="s">
        <v>38</v>
      </c>
    </row>
    <row r="112" spans="1:1" ht="17">
      <c r="A112" s="14" t="s">
        <v>46</v>
      </c>
    </row>
    <row r="116" spans="1:11">
      <c r="A116" t="s">
        <v>40</v>
      </c>
    </row>
    <row r="117" spans="1:11" ht="32">
      <c r="A117" s="1" t="s">
        <v>0</v>
      </c>
      <c r="B117" s="23" t="s">
        <v>1</v>
      </c>
      <c r="C117" s="24" t="s">
        <v>2</v>
      </c>
      <c r="D117" s="24" t="s">
        <v>3</v>
      </c>
      <c r="E117" s="25" t="s">
        <v>4</v>
      </c>
      <c r="F117" s="26" t="s">
        <v>5</v>
      </c>
      <c r="G117" s="26" t="s">
        <v>6</v>
      </c>
      <c r="H117" s="2" t="s">
        <v>41</v>
      </c>
      <c r="I117" s="2" t="s">
        <v>42</v>
      </c>
      <c r="J117" s="2" t="s">
        <v>43</v>
      </c>
      <c r="K117" s="2" t="s">
        <v>40</v>
      </c>
    </row>
    <row r="118" spans="1:11">
      <c r="A118" s="27">
        <v>18</v>
      </c>
      <c r="B118" s="28" t="s">
        <v>11</v>
      </c>
      <c r="C118" s="29" t="s">
        <v>8</v>
      </c>
      <c r="D118" s="29" t="s">
        <v>9</v>
      </c>
      <c r="E118" s="28" t="s">
        <v>10</v>
      </c>
      <c r="F118" s="29">
        <v>79</v>
      </c>
      <c r="G118" s="29">
        <v>142</v>
      </c>
      <c r="H118" s="17">
        <f>119.88+0.658*F118</f>
        <v>171.86199999999999</v>
      </c>
      <c r="I118" s="18">
        <f>(H118-G118)/G118</f>
        <v>0.21029577464788729</v>
      </c>
      <c r="J118" s="18">
        <f>ABS(I118)</f>
        <v>0.21029577464788729</v>
      </c>
      <c r="K118" s="18">
        <f>AVERAGE(J118:J127)</f>
        <v>8.9112006365638791E-2</v>
      </c>
    </row>
    <row r="119" spans="1:11">
      <c r="A119" s="27">
        <v>22</v>
      </c>
      <c r="B119" s="28" t="s">
        <v>11</v>
      </c>
      <c r="C119" s="29" t="s">
        <v>8</v>
      </c>
      <c r="D119" s="29" t="s">
        <v>9</v>
      </c>
      <c r="E119" s="28" t="s">
        <v>10</v>
      </c>
      <c r="F119" s="29">
        <v>81</v>
      </c>
      <c r="G119" s="29">
        <v>190</v>
      </c>
      <c r="H119" s="17">
        <f t="shared" ref="H119:H127" si="0">119.88+0.658*F119</f>
        <v>173.178</v>
      </c>
      <c r="I119" s="18">
        <f t="shared" ref="I119" si="1">(H119-G119)/G119</f>
        <v>-8.8536842105263178E-2</v>
      </c>
      <c r="J119" s="18">
        <f t="shared" ref="J119" si="2">ABS(I119)</f>
        <v>8.8536842105263178E-2</v>
      </c>
      <c r="K119" s="11"/>
    </row>
    <row r="120" spans="1:11">
      <c r="A120" s="27">
        <v>28</v>
      </c>
      <c r="B120" s="28" t="s">
        <v>11</v>
      </c>
      <c r="C120" s="29" t="s">
        <v>8</v>
      </c>
      <c r="D120" s="29" t="s">
        <v>9</v>
      </c>
      <c r="E120" s="28" t="s">
        <v>10</v>
      </c>
      <c r="F120" s="29">
        <v>87</v>
      </c>
      <c r="G120" s="29">
        <v>170</v>
      </c>
      <c r="H120" s="17">
        <f t="shared" si="0"/>
        <v>177.126</v>
      </c>
      <c r="I120" s="18">
        <f t="shared" ref="I120:I127" si="3">(H120-G120)/G120</f>
        <v>4.1917647058823559E-2</v>
      </c>
      <c r="J120" s="18">
        <f t="shared" ref="J120:J127" si="4">ABS(I120)</f>
        <v>4.1917647058823559E-2</v>
      </c>
      <c r="K120" s="11"/>
    </row>
    <row r="121" spans="1:11">
      <c r="A121" s="27">
        <v>29</v>
      </c>
      <c r="B121" s="28" t="s">
        <v>11</v>
      </c>
      <c r="C121" s="29" t="s">
        <v>8</v>
      </c>
      <c r="D121" s="29" t="s">
        <v>9</v>
      </c>
      <c r="E121" s="28" t="s">
        <v>10</v>
      </c>
      <c r="F121" s="29">
        <v>90</v>
      </c>
      <c r="G121" s="29">
        <v>189</v>
      </c>
      <c r="H121" s="17">
        <f t="shared" si="0"/>
        <v>179.1</v>
      </c>
      <c r="I121" s="18">
        <f t="shared" si="3"/>
        <v>-5.238095238095241E-2</v>
      </c>
      <c r="J121" s="18">
        <f t="shared" si="4"/>
        <v>5.238095238095241E-2</v>
      </c>
      <c r="K121" s="11"/>
    </row>
    <row r="122" spans="1:11">
      <c r="A122" s="27">
        <v>34</v>
      </c>
      <c r="B122" s="28" t="s">
        <v>11</v>
      </c>
      <c r="C122" s="29" t="s">
        <v>8</v>
      </c>
      <c r="D122" s="29" t="s">
        <v>9</v>
      </c>
      <c r="E122" s="28" t="s">
        <v>10</v>
      </c>
      <c r="F122" s="29">
        <v>102</v>
      </c>
      <c r="G122" s="29">
        <v>200</v>
      </c>
      <c r="H122" s="17">
        <f t="shared" si="0"/>
        <v>186.99599999999998</v>
      </c>
      <c r="I122" s="18">
        <f t="shared" si="3"/>
        <v>-6.5020000000000092E-2</v>
      </c>
      <c r="J122" s="18">
        <f t="shared" si="4"/>
        <v>6.5020000000000092E-2</v>
      </c>
      <c r="K122" s="11"/>
    </row>
    <row r="123" spans="1:11">
      <c r="A123" s="27">
        <v>53</v>
      </c>
      <c r="B123" s="28" t="s">
        <v>11</v>
      </c>
      <c r="C123" s="29" t="s">
        <v>8</v>
      </c>
      <c r="D123" s="29" t="s">
        <v>9</v>
      </c>
      <c r="E123" s="28" t="s">
        <v>10</v>
      </c>
      <c r="F123" s="29">
        <v>136</v>
      </c>
      <c r="G123" s="29">
        <v>220</v>
      </c>
      <c r="H123" s="17">
        <f t="shared" si="0"/>
        <v>209.36799999999999</v>
      </c>
      <c r="I123" s="18">
        <f t="shared" si="3"/>
        <v>-4.8327272727272753E-2</v>
      </c>
      <c r="J123" s="18">
        <f t="shared" si="4"/>
        <v>4.8327272727272753E-2</v>
      </c>
      <c r="K123" s="11"/>
    </row>
    <row r="124" spans="1:11">
      <c r="A124" s="27">
        <v>56</v>
      </c>
      <c r="B124" s="28" t="s">
        <v>11</v>
      </c>
      <c r="C124" s="29" t="s">
        <v>8</v>
      </c>
      <c r="D124" s="29" t="s">
        <v>9</v>
      </c>
      <c r="E124" s="28" t="s">
        <v>10</v>
      </c>
      <c r="F124" s="29">
        <v>148</v>
      </c>
      <c r="G124" s="29">
        <v>186</v>
      </c>
      <c r="H124" s="17">
        <f t="shared" si="0"/>
        <v>217.26400000000001</v>
      </c>
      <c r="I124" s="18">
        <f t="shared" si="3"/>
        <v>0.16808602150537641</v>
      </c>
      <c r="J124" s="18">
        <f t="shared" si="4"/>
        <v>0.16808602150537641</v>
      </c>
      <c r="K124" s="11"/>
    </row>
    <row r="125" spans="1:11">
      <c r="A125" s="27">
        <v>57</v>
      </c>
      <c r="B125" s="28" t="s">
        <v>11</v>
      </c>
      <c r="C125" s="29" t="s">
        <v>8</v>
      </c>
      <c r="D125" s="29" t="s">
        <v>9</v>
      </c>
      <c r="E125" s="28" t="s">
        <v>10</v>
      </c>
      <c r="F125" s="29">
        <v>152</v>
      </c>
      <c r="G125" s="29">
        <v>237</v>
      </c>
      <c r="H125" s="17">
        <f t="shared" si="0"/>
        <v>219.89600000000002</v>
      </c>
      <c r="I125" s="18">
        <f t="shared" si="3"/>
        <v>-7.2168776371307947E-2</v>
      </c>
      <c r="J125" s="18">
        <f t="shared" si="4"/>
        <v>7.2168776371307947E-2</v>
      </c>
      <c r="K125" s="11"/>
    </row>
    <row r="126" spans="1:11">
      <c r="A126" s="27">
        <v>62</v>
      </c>
      <c r="B126" s="28" t="s">
        <v>11</v>
      </c>
      <c r="C126" s="29" t="s">
        <v>8</v>
      </c>
      <c r="D126" s="29" t="s">
        <v>9</v>
      </c>
      <c r="E126" s="28" t="s">
        <v>10</v>
      </c>
      <c r="F126" s="29">
        <v>160</v>
      </c>
      <c r="G126" s="29">
        <v>242</v>
      </c>
      <c r="H126" s="17">
        <f t="shared" si="0"/>
        <v>225.16</v>
      </c>
      <c r="I126" s="18">
        <f t="shared" si="3"/>
        <v>-6.9586776859504151E-2</v>
      </c>
      <c r="J126" s="18">
        <f t="shared" si="4"/>
        <v>6.9586776859504151E-2</v>
      </c>
      <c r="K126" s="11"/>
    </row>
    <row r="127" spans="1:11">
      <c r="A127" s="27">
        <v>65</v>
      </c>
      <c r="B127" s="28" t="s">
        <v>11</v>
      </c>
      <c r="C127" s="29" t="s">
        <v>8</v>
      </c>
      <c r="D127" s="29" t="s">
        <v>9</v>
      </c>
      <c r="E127" s="28" t="s">
        <v>10</v>
      </c>
      <c r="F127" s="29">
        <v>169</v>
      </c>
      <c r="G127" s="29">
        <v>215</v>
      </c>
      <c r="H127" s="17">
        <f t="shared" si="0"/>
        <v>231.08199999999999</v>
      </c>
      <c r="I127" s="18">
        <f t="shared" si="3"/>
        <v>7.4799999999999964E-2</v>
      </c>
      <c r="J127" s="18">
        <f t="shared" si="4"/>
        <v>7.4799999999999964E-2</v>
      </c>
      <c r="K127" s="11"/>
    </row>
    <row r="132" spans="2:2" s="38" customFormat="1"/>
    <row r="133" spans="2:2" s="38" customFormat="1"/>
    <row r="134" spans="2:2" s="38" customFormat="1"/>
    <row r="135" spans="2:2" s="38" customFormat="1"/>
    <row r="136" spans="2:2" s="38" customFormat="1"/>
    <row r="137" spans="2:2" s="38" customFormat="1"/>
    <row r="138" spans="2:2" s="38" customFormat="1"/>
    <row r="139" spans="2:2" s="38" customFormat="1"/>
    <row r="140" spans="2:2" s="38" customFormat="1"/>
    <row r="141" spans="2:2" s="38" customFormat="1"/>
    <row r="142" spans="2:2" s="38" customFormat="1">
      <c r="B142" s="39"/>
    </row>
    <row r="143" spans="2:2" s="38" customFormat="1"/>
    <row r="144" spans="2:2" s="38" customFormat="1"/>
    <row r="145" spans="2:5" s="38" customFormat="1"/>
    <row r="146" spans="2:5" s="38" customFormat="1"/>
    <row r="147" spans="2:5" s="38" customFormat="1">
      <c r="B147" s="39"/>
      <c r="E147" s="40"/>
    </row>
    <row r="148" spans="2:5" s="38" customFormat="1"/>
    <row r="149" spans="2:5" s="38" customFormat="1"/>
    <row r="150" spans="2:5" s="38" customFormat="1"/>
    <row r="151" spans="2:5" s="38" customFormat="1"/>
    <row r="152" spans="2:5" s="38" customFormat="1">
      <c r="B152" s="39"/>
    </row>
    <row r="153" spans="2:5" s="38" customFormat="1"/>
    <row r="154" spans="2:5" s="38" customFormat="1"/>
    <row r="155" spans="2:5" s="38" customFormat="1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1198-00B1-4A40-8111-DC3B3EEC383A}">
  <dimension ref="A2:M160"/>
  <sheetViews>
    <sheetView topLeftCell="A124" zoomScale="111" workbookViewId="0">
      <selection activeCell="H170" sqref="H170"/>
    </sheetView>
  </sheetViews>
  <sheetFormatPr baseColWidth="10" defaultColWidth="10.6640625" defaultRowHeight="16"/>
  <sheetData>
    <row r="2" spans="1:8">
      <c r="A2" t="s">
        <v>58</v>
      </c>
      <c r="H2" t="s">
        <v>57</v>
      </c>
    </row>
    <row r="21" spans="1:7" ht="32">
      <c r="A21" s="1" t="s">
        <v>0</v>
      </c>
      <c r="B21" s="8" t="s">
        <v>1</v>
      </c>
      <c r="C21" s="7" t="s">
        <v>2</v>
      </c>
      <c r="D21" s="7" t="s">
        <v>3</v>
      </c>
      <c r="E21" s="9" t="s">
        <v>4</v>
      </c>
      <c r="F21" s="2" t="s">
        <v>5</v>
      </c>
      <c r="G21" s="2" t="s">
        <v>6</v>
      </c>
    </row>
    <row r="22" spans="1:7">
      <c r="A22" s="4">
        <v>6</v>
      </c>
      <c r="B22" s="4" t="s">
        <v>11</v>
      </c>
      <c r="C22" s="6" t="s">
        <v>8</v>
      </c>
      <c r="D22" s="6" t="s">
        <v>9</v>
      </c>
      <c r="E22" s="4" t="s">
        <v>10</v>
      </c>
      <c r="F22" s="6">
        <v>51</v>
      </c>
      <c r="G22" s="6">
        <v>52</v>
      </c>
    </row>
    <row r="23" spans="1:7">
      <c r="A23" s="4">
        <v>18</v>
      </c>
      <c r="B23" s="4" t="s">
        <v>11</v>
      </c>
      <c r="C23" s="6" t="s">
        <v>8</v>
      </c>
      <c r="D23" s="6" t="s">
        <v>9</v>
      </c>
      <c r="E23" s="4" t="s">
        <v>10</v>
      </c>
      <c r="F23" s="6">
        <v>79</v>
      </c>
      <c r="G23" s="6">
        <v>142</v>
      </c>
    </row>
    <row r="24" spans="1:7">
      <c r="A24" s="4">
        <v>20</v>
      </c>
      <c r="B24" s="4" t="s">
        <v>11</v>
      </c>
      <c r="C24" s="4" t="s">
        <v>15</v>
      </c>
      <c r="D24" s="6" t="s">
        <v>9</v>
      </c>
      <c r="E24" s="4" t="s">
        <v>10</v>
      </c>
      <c r="F24" s="4">
        <v>80</v>
      </c>
      <c r="G24" s="4">
        <v>260</v>
      </c>
    </row>
    <row r="25" spans="1:7">
      <c r="A25" s="4">
        <v>22</v>
      </c>
      <c r="B25" s="4" t="s">
        <v>11</v>
      </c>
      <c r="C25" s="6" t="s">
        <v>8</v>
      </c>
      <c r="D25" s="6" t="s">
        <v>9</v>
      </c>
      <c r="E25" s="4" t="s">
        <v>10</v>
      </c>
      <c r="F25" s="6">
        <v>81</v>
      </c>
      <c r="G25" s="6">
        <v>190</v>
      </c>
    </row>
    <row r="26" spans="1:7">
      <c r="A26" s="4">
        <v>28</v>
      </c>
      <c r="B26" s="4" t="s">
        <v>11</v>
      </c>
      <c r="C26" s="6" t="s">
        <v>8</v>
      </c>
      <c r="D26" s="6" t="s">
        <v>9</v>
      </c>
      <c r="E26" s="4" t="s">
        <v>10</v>
      </c>
      <c r="F26" s="6">
        <v>87</v>
      </c>
      <c r="G26" s="6">
        <v>170</v>
      </c>
    </row>
    <row r="27" spans="1:7">
      <c r="A27" s="4">
        <v>29</v>
      </c>
      <c r="B27" s="4" t="s">
        <v>11</v>
      </c>
      <c r="C27" s="6" t="s">
        <v>8</v>
      </c>
      <c r="D27" s="6" t="s">
        <v>9</v>
      </c>
      <c r="E27" s="4" t="s">
        <v>10</v>
      </c>
      <c r="F27" s="6">
        <v>90</v>
      </c>
      <c r="G27" s="6">
        <v>189</v>
      </c>
    </row>
    <row r="28" spans="1:7">
      <c r="A28" s="4">
        <v>34</v>
      </c>
      <c r="B28" s="4" t="s">
        <v>11</v>
      </c>
      <c r="C28" s="6" t="s">
        <v>8</v>
      </c>
      <c r="D28" s="6" t="s">
        <v>9</v>
      </c>
      <c r="E28" s="4" t="s">
        <v>10</v>
      </c>
      <c r="F28" s="6">
        <v>102</v>
      </c>
      <c r="G28" s="6">
        <v>200</v>
      </c>
    </row>
    <row r="29" spans="1:7">
      <c r="A29" s="4">
        <v>42</v>
      </c>
      <c r="B29" s="4" t="s">
        <v>11</v>
      </c>
      <c r="C29" s="6" t="s">
        <v>8</v>
      </c>
      <c r="D29" s="6" t="s">
        <v>9</v>
      </c>
      <c r="E29" s="4" t="s">
        <v>16</v>
      </c>
      <c r="F29" s="6">
        <v>115</v>
      </c>
      <c r="G29" s="6">
        <v>285</v>
      </c>
    </row>
    <row r="30" spans="1:7">
      <c r="A30" s="4">
        <v>53</v>
      </c>
      <c r="B30" s="4" t="s">
        <v>11</v>
      </c>
      <c r="C30" s="6" t="s">
        <v>8</v>
      </c>
      <c r="D30" s="6" t="s">
        <v>9</v>
      </c>
      <c r="E30" s="4" t="s">
        <v>10</v>
      </c>
      <c r="F30" s="6">
        <v>136</v>
      </c>
      <c r="G30" s="6">
        <v>220</v>
      </c>
    </row>
    <row r="31" spans="1:7">
      <c r="A31" s="4">
        <v>56</v>
      </c>
      <c r="B31" s="4" t="s">
        <v>11</v>
      </c>
      <c r="C31" s="6" t="s">
        <v>8</v>
      </c>
      <c r="D31" s="6" t="s">
        <v>9</v>
      </c>
      <c r="E31" s="4" t="s">
        <v>10</v>
      </c>
      <c r="F31" s="6">
        <v>148</v>
      </c>
      <c r="G31" s="6">
        <v>186</v>
      </c>
    </row>
    <row r="32" spans="1:7">
      <c r="A32" s="4">
        <v>57</v>
      </c>
      <c r="B32" s="4" t="s">
        <v>11</v>
      </c>
      <c r="C32" s="6" t="s">
        <v>8</v>
      </c>
      <c r="D32" s="6" t="s">
        <v>9</v>
      </c>
      <c r="E32" s="4" t="s">
        <v>10</v>
      </c>
      <c r="F32" s="6">
        <v>152</v>
      </c>
      <c r="G32" s="6">
        <v>237</v>
      </c>
    </row>
    <row r="33" spans="1:7">
      <c r="A33" s="4">
        <v>62</v>
      </c>
      <c r="B33" s="4" t="s">
        <v>11</v>
      </c>
      <c r="C33" s="6" t="s">
        <v>8</v>
      </c>
      <c r="D33" s="6" t="s">
        <v>9</v>
      </c>
      <c r="E33" s="4" t="s">
        <v>10</v>
      </c>
      <c r="F33" s="6">
        <v>160</v>
      </c>
      <c r="G33" s="6">
        <v>242</v>
      </c>
    </row>
    <row r="34" spans="1:7">
      <c r="A34" s="4">
        <v>65</v>
      </c>
      <c r="B34" s="4" t="s">
        <v>11</v>
      </c>
      <c r="C34" s="6" t="s">
        <v>8</v>
      </c>
      <c r="D34" s="6" t="s">
        <v>9</v>
      </c>
      <c r="E34" s="4" t="s">
        <v>10</v>
      </c>
      <c r="F34" s="6">
        <v>169</v>
      </c>
      <c r="G34" s="6">
        <v>215</v>
      </c>
    </row>
    <row r="35" spans="1:7">
      <c r="A35" s="4">
        <v>67</v>
      </c>
      <c r="B35" s="4" t="s">
        <v>11</v>
      </c>
      <c r="C35" s="6" t="s">
        <v>8</v>
      </c>
      <c r="D35" s="6" t="s">
        <v>9</v>
      </c>
      <c r="E35" s="4" t="s">
        <v>16</v>
      </c>
      <c r="F35" s="6">
        <v>178</v>
      </c>
      <c r="G35" s="6">
        <v>290</v>
      </c>
    </row>
    <row r="37" spans="1:7">
      <c r="A37" t="s">
        <v>18</v>
      </c>
    </row>
    <row r="38" spans="1:7" ht="20">
      <c r="A38" s="13" t="s">
        <v>19</v>
      </c>
    </row>
    <row r="39" spans="1:7" ht="17">
      <c r="A39" s="14" t="s">
        <v>20</v>
      </c>
      <c r="B39" s="14" t="s">
        <v>21</v>
      </c>
      <c r="C39" s="14" t="s">
        <v>22</v>
      </c>
      <c r="D39" s="14" t="s">
        <v>23</v>
      </c>
      <c r="E39" s="14" t="s">
        <v>24</v>
      </c>
      <c r="F39" s="14" t="s">
        <v>25</v>
      </c>
      <c r="G39" s="14" t="s">
        <v>26</v>
      </c>
    </row>
    <row r="40" spans="1:7" ht="17">
      <c r="A40" s="14" t="s">
        <v>5</v>
      </c>
      <c r="B40" s="14">
        <v>14</v>
      </c>
      <c r="C40" s="14">
        <v>116.29</v>
      </c>
      <c r="D40" s="14">
        <v>40.32</v>
      </c>
      <c r="E40" s="14">
        <v>51</v>
      </c>
      <c r="F40" s="14">
        <v>108.5</v>
      </c>
      <c r="G40" s="14">
        <v>178</v>
      </c>
    </row>
    <row r="42" spans="1:7" ht="20">
      <c r="A42" s="13" t="s">
        <v>19</v>
      </c>
    </row>
    <row r="43" spans="1:7" ht="17">
      <c r="A43" s="14" t="s">
        <v>20</v>
      </c>
      <c r="B43" s="14" t="s">
        <v>21</v>
      </c>
      <c r="C43" s="14" t="s">
        <v>22</v>
      </c>
      <c r="D43" s="14" t="s">
        <v>23</v>
      </c>
      <c r="E43" s="14" t="s">
        <v>24</v>
      </c>
      <c r="F43" s="14" t="s">
        <v>25</v>
      </c>
      <c r="G43" s="14" t="s">
        <v>26</v>
      </c>
    </row>
    <row r="44" spans="1:7" ht="17">
      <c r="A44" s="14" t="s">
        <v>6</v>
      </c>
      <c r="B44" s="14">
        <v>14</v>
      </c>
      <c r="C44" s="14">
        <v>205.57</v>
      </c>
      <c r="D44" s="14">
        <v>61.29</v>
      </c>
      <c r="E44" s="14">
        <v>52</v>
      </c>
      <c r="F44" s="14">
        <v>207.5</v>
      </c>
      <c r="G44" s="14">
        <v>290</v>
      </c>
    </row>
    <row r="47" spans="1:7">
      <c r="A47" t="s">
        <v>28</v>
      </c>
    </row>
    <row r="48" spans="1:7" ht="20">
      <c r="A48" s="13" t="s">
        <v>29</v>
      </c>
    </row>
    <row r="49" spans="1:8" ht="17">
      <c r="A49" s="14" t="s">
        <v>30</v>
      </c>
      <c r="B49" s="14" t="s">
        <v>6</v>
      </c>
      <c r="C49" s="14"/>
      <c r="D49" s="14"/>
      <c r="E49" s="14"/>
      <c r="F49" s="14"/>
    </row>
    <row r="50" spans="1:8" ht="17">
      <c r="A50" s="14">
        <v>1</v>
      </c>
      <c r="B50" s="14">
        <v>52</v>
      </c>
      <c r="C50" s="14"/>
      <c r="D50" s="14"/>
      <c r="E50" s="14"/>
      <c r="F50" s="14"/>
    </row>
    <row r="51" spans="1:8" ht="17">
      <c r="A51" s="16"/>
    </row>
    <row r="52" spans="1:8" ht="32">
      <c r="A52" s="1" t="s">
        <v>0</v>
      </c>
      <c r="B52" s="8" t="s">
        <v>1</v>
      </c>
      <c r="C52" s="7" t="s">
        <v>2</v>
      </c>
      <c r="D52" s="7" t="s">
        <v>3</v>
      </c>
      <c r="E52" s="9" t="s">
        <v>4</v>
      </c>
      <c r="F52" s="2" t="s">
        <v>5</v>
      </c>
      <c r="G52" s="2" t="s">
        <v>6</v>
      </c>
    </row>
    <row r="53" spans="1:8">
      <c r="A53" s="4">
        <v>6</v>
      </c>
      <c r="B53" s="4" t="s">
        <v>11</v>
      </c>
      <c r="C53" s="6" t="s">
        <v>8</v>
      </c>
      <c r="D53" s="6" t="s">
        <v>9</v>
      </c>
      <c r="E53" s="4" t="s">
        <v>10</v>
      </c>
      <c r="F53" s="6">
        <v>51</v>
      </c>
      <c r="G53" s="6">
        <v>52</v>
      </c>
      <c r="H53" s="20" t="s">
        <v>44</v>
      </c>
    </row>
    <row r="54" spans="1:8">
      <c r="A54" s="4">
        <v>18</v>
      </c>
      <c r="B54" s="4" t="s">
        <v>11</v>
      </c>
      <c r="C54" s="6" t="s">
        <v>8</v>
      </c>
      <c r="D54" s="6" t="s">
        <v>9</v>
      </c>
      <c r="E54" s="4" t="s">
        <v>10</v>
      </c>
      <c r="F54" s="6">
        <v>79</v>
      </c>
      <c r="G54" s="6">
        <v>142</v>
      </c>
    </row>
    <row r="55" spans="1:8">
      <c r="A55" s="4">
        <v>20</v>
      </c>
      <c r="B55" s="4" t="s">
        <v>11</v>
      </c>
      <c r="C55" s="4" t="s">
        <v>15</v>
      </c>
      <c r="D55" s="6" t="s">
        <v>9</v>
      </c>
      <c r="E55" s="4" t="s">
        <v>10</v>
      </c>
      <c r="F55" s="4">
        <v>80</v>
      </c>
      <c r="G55" s="4">
        <v>260</v>
      </c>
    </row>
    <row r="56" spans="1:8">
      <c r="A56" s="4">
        <v>22</v>
      </c>
      <c r="B56" s="4" t="s">
        <v>11</v>
      </c>
      <c r="C56" s="6" t="s">
        <v>8</v>
      </c>
      <c r="D56" s="6" t="s">
        <v>9</v>
      </c>
      <c r="E56" s="4" t="s">
        <v>10</v>
      </c>
      <c r="F56" s="6">
        <v>81</v>
      </c>
      <c r="G56" s="6">
        <v>190</v>
      </c>
    </row>
    <row r="57" spans="1:8">
      <c r="A57" s="4">
        <v>28</v>
      </c>
      <c r="B57" s="4" t="s">
        <v>11</v>
      </c>
      <c r="C57" s="6" t="s">
        <v>8</v>
      </c>
      <c r="D57" s="6" t="s">
        <v>9</v>
      </c>
      <c r="E57" s="4" t="s">
        <v>10</v>
      </c>
      <c r="F57" s="6">
        <v>87</v>
      </c>
      <c r="G57" s="6">
        <v>170</v>
      </c>
    </row>
    <row r="58" spans="1:8">
      <c r="A58" s="4">
        <v>29</v>
      </c>
      <c r="B58" s="4" t="s">
        <v>11</v>
      </c>
      <c r="C58" s="6" t="s">
        <v>8</v>
      </c>
      <c r="D58" s="6" t="s">
        <v>9</v>
      </c>
      <c r="E58" s="4" t="s">
        <v>10</v>
      </c>
      <c r="F58" s="6">
        <v>90</v>
      </c>
      <c r="G58" s="6">
        <v>189</v>
      </c>
    </row>
    <row r="59" spans="1:8">
      <c r="A59" s="4">
        <v>34</v>
      </c>
      <c r="B59" s="4" t="s">
        <v>11</v>
      </c>
      <c r="C59" s="6" t="s">
        <v>8</v>
      </c>
      <c r="D59" s="6" t="s">
        <v>9</v>
      </c>
      <c r="E59" s="4" t="s">
        <v>10</v>
      </c>
      <c r="F59" s="6">
        <v>102</v>
      </c>
      <c r="G59" s="6">
        <v>200</v>
      </c>
    </row>
    <row r="60" spans="1:8">
      <c r="A60" s="4">
        <v>42</v>
      </c>
      <c r="B60" s="4" t="s">
        <v>11</v>
      </c>
      <c r="C60" s="6" t="s">
        <v>8</v>
      </c>
      <c r="D60" s="6" t="s">
        <v>9</v>
      </c>
      <c r="E60" s="4" t="s">
        <v>16</v>
      </c>
      <c r="F60" s="6">
        <v>115</v>
      </c>
      <c r="G60" s="6">
        <v>285</v>
      </c>
    </row>
    <row r="61" spans="1:8">
      <c r="A61" s="4">
        <v>53</v>
      </c>
      <c r="B61" s="4" t="s">
        <v>11</v>
      </c>
      <c r="C61" s="6" t="s">
        <v>8</v>
      </c>
      <c r="D61" s="6" t="s">
        <v>9</v>
      </c>
      <c r="E61" s="4" t="s">
        <v>10</v>
      </c>
      <c r="F61" s="6">
        <v>136</v>
      </c>
      <c r="G61" s="6">
        <v>220</v>
      </c>
    </row>
    <row r="62" spans="1:8">
      <c r="A62" s="4">
        <v>56</v>
      </c>
      <c r="B62" s="4" t="s">
        <v>11</v>
      </c>
      <c r="C62" s="6" t="s">
        <v>8</v>
      </c>
      <c r="D62" s="6" t="s">
        <v>9</v>
      </c>
      <c r="E62" s="4" t="s">
        <v>10</v>
      </c>
      <c r="F62" s="6">
        <v>148</v>
      </c>
      <c r="G62" s="6">
        <v>186</v>
      </c>
    </row>
    <row r="63" spans="1:8">
      <c r="A63" s="4">
        <v>57</v>
      </c>
      <c r="B63" s="4" t="s">
        <v>11</v>
      </c>
      <c r="C63" s="6" t="s">
        <v>8</v>
      </c>
      <c r="D63" s="6" t="s">
        <v>9</v>
      </c>
      <c r="E63" s="4" t="s">
        <v>10</v>
      </c>
      <c r="F63" s="6">
        <v>152</v>
      </c>
      <c r="G63" s="6">
        <v>237</v>
      </c>
    </row>
    <row r="64" spans="1:8">
      <c r="A64" s="4">
        <v>62</v>
      </c>
      <c r="B64" s="4" t="s">
        <v>11</v>
      </c>
      <c r="C64" s="6" t="s">
        <v>8</v>
      </c>
      <c r="D64" s="6" t="s">
        <v>9</v>
      </c>
      <c r="E64" s="4" t="s">
        <v>10</v>
      </c>
      <c r="F64" s="6">
        <v>160</v>
      </c>
      <c r="G64" s="6">
        <v>242</v>
      </c>
    </row>
    <row r="65" spans="1:7">
      <c r="A65" s="4">
        <v>65</v>
      </c>
      <c r="B65" s="4" t="s">
        <v>11</v>
      </c>
      <c r="C65" s="6" t="s">
        <v>8</v>
      </c>
      <c r="D65" s="6" t="s">
        <v>9</v>
      </c>
      <c r="E65" s="4" t="s">
        <v>10</v>
      </c>
      <c r="F65" s="6">
        <v>169</v>
      </c>
      <c r="G65" s="6">
        <v>215</v>
      </c>
    </row>
    <row r="66" spans="1:7">
      <c r="A66" s="4">
        <v>67</v>
      </c>
      <c r="B66" s="4" t="s">
        <v>11</v>
      </c>
      <c r="C66" s="6" t="s">
        <v>8</v>
      </c>
      <c r="D66" s="6" t="s">
        <v>9</v>
      </c>
      <c r="E66" s="4" t="s">
        <v>16</v>
      </c>
      <c r="F66" s="6">
        <v>178</v>
      </c>
      <c r="G66" s="6">
        <v>290</v>
      </c>
    </row>
    <row r="69" spans="1:7" ht="32">
      <c r="A69" s="1" t="s">
        <v>0</v>
      </c>
      <c r="B69" s="8" t="s">
        <v>1</v>
      </c>
      <c r="C69" s="7" t="s">
        <v>2</v>
      </c>
      <c r="D69" s="7" t="s">
        <v>3</v>
      </c>
      <c r="E69" s="9" t="s">
        <v>4</v>
      </c>
      <c r="F69" s="2" t="s">
        <v>5</v>
      </c>
      <c r="G69" s="2" t="s">
        <v>6</v>
      </c>
    </row>
    <row r="70" spans="1:7">
      <c r="A70" s="4">
        <v>18</v>
      </c>
      <c r="B70" s="4" t="s">
        <v>11</v>
      </c>
      <c r="C70" s="6" t="s">
        <v>8</v>
      </c>
      <c r="D70" s="6" t="s">
        <v>9</v>
      </c>
      <c r="E70" s="4" t="s">
        <v>10</v>
      </c>
      <c r="F70" s="6">
        <v>79</v>
      </c>
      <c r="G70" s="6">
        <v>142</v>
      </c>
    </row>
    <row r="71" spans="1:7">
      <c r="A71" s="4">
        <v>20</v>
      </c>
      <c r="B71" s="4" t="s">
        <v>11</v>
      </c>
      <c r="C71" s="4" t="s">
        <v>15</v>
      </c>
      <c r="D71" s="6" t="s">
        <v>9</v>
      </c>
      <c r="E71" s="4" t="s">
        <v>10</v>
      </c>
      <c r="F71" s="4">
        <v>80</v>
      </c>
      <c r="G71" s="4">
        <v>260</v>
      </c>
    </row>
    <row r="72" spans="1:7">
      <c r="A72" s="4">
        <v>22</v>
      </c>
      <c r="B72" s="4" t="s">
        <v>11</v>
      </c>
      <c r="C72" s="6" t="s">
        <v>8</v>
      </c>
      <c r="D72" s="6" t="s">
        <v>9</v>
      </c>
      <c r="E72" s="4" t="s">
        <v>10</v>
      </c>
      <c r="F72" s="6">
        <v>81</v>
      </c>
      <c r="G72" s="6">
        <v>190</v>
      </c>
    </row>
    <row r="73" spans="1:7">
      <c r="A73" s="4">
        <v>28</v>
      </c>
      <c r="B73" s="4" t="s">
        <v>11</v>
      </c>
      <c r="C73" s="6" t="s">
        <v>8</v>
      </c>
      <c r="D73" s="6" t="s">
        <v>9</v>
      </c>
      <c r="E73" s="4" t="s">
        <v>10</v>
      </c>
      <c r="F73" s="6">
        <v>87</v>
      </c>
      <c r="G73" s="6">
        <v>170</v>
      </c>
    </row>
    <row r="74" spans="1:7">
      <c r="A74" s="4">
        <v>29</v>
      </c>
      <c r="B74" s="4" t="s">
        <v>11</v>
      </c>
      <c r="C74" s="6" t="s">
        <v>8</v>
      </c>
      <c r="D74" s="6" t="s">
        <v>9</v>
      </c>
      <c r="E74" s="4" t="s">
        <v>10</v>
      </c>
      <c r="F74" s="6">
        <v>90</v>
      </c>
      <c r="G74" s="6">
        <v>189</v>
      </c>
    </row>
    <row r="75" spans="1:7">
      <c r="A75" s="4">
        <v>34</v>
      </c>
      <c r="B75" s="4" t="s">
        <v>11</v>
      </c>
      <c r="C75" s="6" t="s">
        <v>8</v>
      </c>
      <c r="D75" s="6" t="s">
        <v>9</v>
      </c>
      <c r="E75" s="4" t="s">
        <v>10</v>
      </c>
      <c r="F75" s="6">
        <v>102</v>
      </c>
      <c r="G75" s="6">
        <v>200</v>
      </c>
    </row>
    <row r="76" spans="1:7">
      <c r="A76" s="4">
        <v>42</v>
      </c>
      <c r="B76" s="4" t="s">
        <v>11</v>
      </c>
      <c r="C76" s="6" t="s">
        <v>8</v>
      </c>
      <c r="D76" s="6" t="s">
        <v>9</v>
      </c>
      <c r="E76" s="4" t="s">
        <v>16</v>
      </c>
      <c r="F76" s="6">
        <v>115</v>
      </c>
      <c r="G76" s="6">
        <v>285</v>
      </c>
    </row>
    <row r="77" spans="1:7">
      <c r="A77" s="4">
        <v>53</v>
      </c>
      <c r="B77" s="4" t="s">
        <v>11</v>
      </c>
      <c r="C77" s="6" t="s">
        <v>8</v>
      </c>
      <c r="D77" s="6" t="s">
        <v>9</v>
      </c>
      <c r="E77" s="4" t="s">
        <v>10</v>
      </c>
      <c r="F77" s="6">
        <v>136</v>
      </c>
      <c r="G77" s="6">
        <v>220</v>
      </c>
    </row>
    <row r="78" spans="1:7">
      <c r="A78" s="4">
        <v>56</v>
      </c>
      <c r="B78" s="4" t="s">
        <v>11</v>
      </c>
      <c r="C78" s="6" t="s">
        <v>8</v>
      </c>
      <c r="D78" s="6" t="s">
        <v>9</v>
      </c>
      <c r="E78" s="4" t="s">
        <v>10</v>
      </c>
      <c r="F78" s="6">
        <v>148</v>
      </c>
      <c r="G78" s="6">
        <v>186</v>
      </c>
    </row>
    <row r="79" spans="1:7">
      <c r="A79" s="4">
        <v>57</v>
      </c>
      <c r="B79" s="4" t="s">
        <v>11</v>
      </c>
      <c r="C79" s="6" t="s">
        <v>8</v>
      </c>
      <c r="D79" s="6" t="s">
        <v>9</v>
      </c>
      <c r="E79" s="4" t="s">
        <v>10</v>
      </c>
      <c r="F79" s="6">
        <v>152</v>
      </c>
      <c r="G79" s="6">
        <v>237</v>
      </c>
    </row>
    <row r="80" spans="1:7">
      <c r="A80" s="4">
        <v>62</v>
      </c>
      <c r="B80" s="4" t="s">
        <v>11</v>
      </c>
      <c r="C80" s="6" t="s">
        <v>8</v>
      </c>
      <c r="D80" s="6" t="s">
        <v>9</v>
      </c>
      <c r="E80" s="4" t="s">
        <v>10</v>
      </c>
      <c r="F80" s="6">
        <v>160</v>
      </c>
      <c r="G80" s="6">
        <v>242</v>
      </c>
    </row>
    <row r="81" spans="1:7">
      <c r="A81" s="4">
        <v>65</v>
      </c>
      <c r="B81" s="4" t="s">
        <v>11</v>
      </c>
      <c r="C81" s="6" t="s">
        <v>8</v>
      </c>
      <c r="D81" s="6" t="s">
        <v>9</v>
      </c>
      <c r="E81" s="4" t="s">
        <v>10</v>
      </c>
      <c r="F81" s="6">
        <v>169</v>
      </c>
      <c r="G81" s="6">
        <v>215</v>
      </c>
    </row>
    <row r="82" spans="1:7">
      <c r="A82" s="4">
        <v>67</v>
      </c>
      <c r="B82" s="4" t="s">
        <v>11</v>
      </c>
      <c r="C82" s="6" t="s">
        <v>8</v>
      </c>
      <c r="D82" s="6" t="s">
        <v>9</v>
      </c>
      <c r="E82" s="4" t="s">
        <v>16</v>
      </c>
      <c r="F82" s="6">
        <v>178</v>
      </c>
      <c r="G82" s="6">
        <v>290</v>
      </c>
    </row>
    <row r="85" spans="1:7">
      <c r="A85" t="s">
        <v>28</v>
      </c>
    </row>
    <row r="86" spans="1:7">
      <c r="A86" t="s">
        <v>31</v>
      </c>
      <c r="B86" t="s">
        <v>32</v>
      </c>
    </row>
    <row r="88" spans="1:7" ht="20">
      <c r="A88" s="10" t="s">
        <v>33</v>
      </c>
      <c r="D88" s="10" t="s">
        <v>33</v>
      </c>
    </row>
    <row r="89" spans="1:7" ht="20">
      <c r="A89" s="33">
        <v>13</v>
      </c>
      <c r="D89" s="33">
        <v>13</v>
      </c>
    </row>
    <row r="90" spans="1:7" ht="20">
      <c r="A90" s="10" t="s">
        <v>45</v>
      </c>
      <c r="D90" s="10" t="s">
        <v>45</v>
      </c>
    </row>
    <row r="91" spans="1:7" ht="20">
      <c r="A91" s="10">
        <v>1</v>
      </c>
      <c r="D91" s="10">
        <v>1</v>
      </c>
    </row>
    <row r="92" spans="1:7" ht="20">
      <c r="A92" s="10" t="s">
        <v>34</v>
      </c>
      <c r="D92" s="10" t="s">
        <v>34</v>
      </c>
    </row>
    <row r="93" spans="1:7" ht="20">
      <c r="A93" s="10" t="s">
        <v>0</v>
      </c>
      <c r="D93" s="10" t="s">
        <v>0</v>
      </c>
    </row>
    <row r="94" spans="1:7" ht="20">
      <c r="A94" s="10"/>
      <c r="D94" s="10"/>
    </row>
    <row r="96" spans="1:7">
      <c r="A96" t="s">
        <v>35</v>
      </c>
    </row>
    <row r="106" spans="1:13" ht="17">
      <c r="M106" s="14"/>
    </row>
    <row r="107" spans="1:13" ht="17">
      <c r="M107" s="15"/>
    </row>
    <row r="111" spans="1:13" ht="20">
      <c r="A111" s="13" t="s">
        <v>36</v>
      </c>
    </row>
    <row r="112" spans="1:13" ht="17">
      <c r="A112" s="14" t="s">
        <v>37</v>
      </c>
    </row>
    <row r="113" spans="1:11" ht="17">
      <c r="A113" s="15">
        <v>0.17460000000000001</v>
      </c>
    </row>
    <row r="115" spans="1:11" ht="20">
      <c r="A115" s="13" t="s">
        <v>38</v>
      </c>
    </row>
    <row r="116" spans="1:11" ht="17">
      <c r="A116" s="14" t="s">
        <v>47</v>
      </c>
    </row>
    <row r="120" spans="1:11">
      <c r="A120" t="s">
        <v>40</v>
      </c>
    </row>
    <row r="121" spans="1:11" ht="32">
      <c r="A121" s="1" t="s">
        <v>0</v>
      </c>
      <c r="B121" s="8" t="s">
        <v>1</v>
      </c>
      <c r="C121" s="7" t="s">
        <v>2</v>
      </c>
      <c r="D121" s="7" t="s">
        <v>3</v>
      </c>
      <c r="E121" s="9" t="s">
        <v>4</v>
      </c>
      <c r="F121" s="2" t="s">
        <v>5</v>
      </c>
      <c r="G121" s="2" t="s">
        <v>6</v>
      </c>
      <c r="H121" s="2" t="s">
        <v>41</v>
      </c>
      <c r="I121" s="2" t="s">
        <v>42</v>
      </c>
      <c r="J121" s="2" t="s">
        <v>43</v>
      </c>
      <c r="K121" s="2" t="s">
        <v>40</v>
      </c>
    </row>
    <row r="122" spans="1:11">
      <c r="A122" s="4">
        <v>18</v>
      </c>
      <c r="B122" s="4" t="s">
        <v>11</v>
      </c>
      <c r="C122" s="6" t="s">
        <v>8</v>
      </c>
      <c r="D122" s="6" t="s">
        <v>9</v>
      </c>
      <c r="E122" s="4" t="s">
        <v>10</v>
      </c>
      <c r="F122" s="6">
        <v>79</v>
      </c>
      <c r="G122" s="6">
        <v>142</v>
      </c>
      <c r="H122" s="17">
        <f>146.17+0.5871*F122</f>
        <v>192.55089999999998</v>
      </c>
      <c r="I122" s="18">
        <f>(H122-G122)/G122</f>
        <v>0.35599225352112668</v>
      </c>
      <c r="J122" s="18">
        <f>ABS(I122)</f>
        <v>0.35599225352112668</v>
      </c>
      <c r="K122" s="18">
        <f>AVERAGE(J122:J134)</f>
        <v>0.13064192151244367</v>
      </c>
    </row>
    <row r="123" spans="1:11">
      <c r="A123" s="4">
        <v>20</v>
      </c>
      <c r="B123" s="4" t="s">
        <v>11</v>
      </c>
      <c r="C123" s="4" t="s">
        <v>15</v>
      </c>
      <c r="D123" s="6" t="s">
        <v>9</v>
      </c>
      <c r="E123" s="4" t="s">
        <v>10</v>
      </c>
      <c r="F123" s="4">
        <v>80</v>
      </c>
      <c r="G123" s="4">
        <v>260</v>
      </c>
      <c r="H123" s="17">
        <f t="shared" ref="H123:H134" si="0">146.17+0.5871*F123</f>
        <v>193.13799999999998</v>
      </c>
      <c r="I123" s="18">
        <f t="shared" ref="I123:I125" si="1">(H123-G123)/G123</f>
        <v>-0.25716153846153855</v>
      </c>
      <c r="J123" s="18">
        <f t="shared" ref="J123:J125" si="2">ABS(I123)</f>
        <v>0.25716153846153855</v>
      </c>
      <c r="K123" s="11"/>
    </row>
    <row r="124" spans="1:11">
      <c r="A124" s="4">
        <v>22</v>
      </c>
      <c r="B124" s="4" t="s">
        <v>11</v>
      </c>
      <c r="C124" s="6" t="s">
        <v>8</v>
      </c>
      <c r="D124" s="6" t="s">
        <v>9</v>
      </c>
      <c r="E124" s="4" t="s">
        <v>10</v>
      </c>
      <c r="F124" s="6">
        <v>81</v>
      </c>
      <c r="G124" s="6">
        <v>190</v>
      </c>
      <c r="H124" s="17">
        <f t="shared" si="0"/>
        <v>193.7251</v>
      </c>
      <c r="I124" s="18">
        <f t="shared" si="1"/>
        <v>1.9605789473684198E-2</v>
      </c>
      <c r="J124" s="18">
        <f t="shared" si="2"/>
        <v>1.9605789473684198E-2</v>
      </c>
      <c r="K124" s="11"/>
    </row>
    <row r="125" spans="1:11">
      <c r="A125" s="4">
        <v>28</v>
      </c>
      <c r="B125" s="4" t="s">
        <v>11</v>
      </c>
      <c r="C125" s="6" t="s">
        <v>8</v>
      </c>
      <c r="D125" s="6" t="s">
        <v>9</v>
      </c>
      <c r="E125" s="4" t="s">
        <v>10</v>
      </c>
      <c r="F125" s="6">
        <v>87</v>
      </c>
      <c r="G125" s="6">
        <v>170</v>
      </c>
      <c r="H125" s="17">
        <f t="shared" si="0"/>
        <v>197.24769999999998</v>
      </c>
      <c r="I125" s="18">
        <f t="shared" si="1"/>
        <v>0.16028058823529401</v>
      </c>
      <c r="J125" s="18">
        <f t="shared" si="2"/>
        <v>0.16028058823529401</v>
      </c>
      <c r="K125" s="11"/>
    </row>
    <row r="126" spans="1:11">
      <c r="A126" s="4">
        <v>29</v>
      </c>
      <c r="B126" s="4" t="s">
        <v>11</v>
      </c>
      <c r="C126" s="6" t="s">
        <v>8</v>
      </c>
      <c r="D126" s="6" t="s">
        <v>9</v>
      </c>
      <c r="E126" s="4" t="s">
        <v>10</v>
      </c>
      <c r="F126" s="6">
        <v>90</v>
      </c>
      <c r="G126" s="6">
        <v>189</v>
      </c>
      <c r="H126" s="17">
        <f t="shared" si="0"/>
        <v>199.00899999999999</v>
      </c>
      <c r="I126" s="18">
        <f t="shared" ref="I126:I134" si="3">(H126-G126)/G126</f>
        <v>5.2957671957671884E-2</v>
      </c>
      <c r="J126" s="18">
        <f t="shared" ref="J126:J134" si="4">ABS(I126)</f>
        <v>5.2957671957671884E-2</v>
      </c>
      <c r="K126" s="11"/>
    </row>
    <row r="127" spans="1:11">
      <c r="A127" s="4">
        <v>34</v>
      </c>
      <c r="B127" s="4" t="s">
        <v>11</v>
      </c>
      <c r="C127" s="6" t="s">
        <v>8</v>
      </c>
      <c r="D127" s="6" t="s">
        <v>9</v>
      </c>
      <c r="E127" s="4" t="s">
        <v>10</v>
      </c>
      <c r="F127" s="6">
        <v>102</v>
      </c>
      <c r="G127" s="6">
        <v>200</v>
      </c>
      <c r="H127" s="17">
        <f t="shared" si="0"/>
        <v>206.05419999999998</v>
      </c>
      <c r="I127" s="18">
        <f t="shared" si="3"/>
        <v>3.0270999999999902E-2</v>
      </c>
      <c r="J127" s="18">
        <f t="shared" si="4"/>
        <v>3.0270999999999902E-2</v>
      </c>
      <c r="K127" s="11"/>
    </row>
    <row r="128" spans="1:11">
      <c r="A128" s="4">
        <v>42</v>
      </c>
      <c r="B128" s="4" t="s">
        <v>11</v>
      </c>
      <c r="C128" s="6" t="s">
        <v>8</v>
      </c>
      <c r="D128" s="6" t="s">
        <v>9</v>
      </c>
      <c r="E128" s="4" t="s">
        <v>16</v>
      </c>
      <c r="F128" s="6">
        <v>115</v>
      </c>
      <c r="G128" s="6">
        <v>285</v>
      </c>
      <c r="H128" s="17">
        <f t="shared" si="0"/>
        <v>213.68649999999997</v>
      </c>
      <c r="I128" s="18">
        <f t="shared" si="3"/>
        <v>-0.25022280701754396</v>
      </c>
      <c r="J128" s="18">
        <f t="shared" si="4"/>
        <v>0.25022280701754396</v>
      </c>
      <c r="K128" s="11"/>
    </row>
    <row r="129" spans="1:11">
      <c r="A129" s="4">
        <v>53</v>
      </c>
      <c r="B129" s="4" t="s">
        <v>11</v>
      </c>
      <c r="C129" s="6" t="s">
        <v>8</v>
      </c>
      <c r="D129" s="6" t="s">
        <v>9</v>
      </c>
      <c r="E129" s="4" t="s">
        <v>10</v>
      </c>
      <c r="F129" s="6">
        <v>136</v>
      </c>
      <c r="G129" s="6">
        <v>220</v>
      </c>
      <c r="H129" s="17">
        <f t="shared" si="0"/>
        <v>226.01559999999998</v>
      </c>
      <c r="I129" s="18">
        <f t="shared" si="3"/>
        <v>2.7343636363636264E-2</v>
      </c>
      <c r="J129" s="18">
        <f t="shared" si="4"/>
        <v>2.7343636363636264E-2</v>
      </c>
      <c r="K129" s="11"/>
    </row>
    <row r="130" spans="1:11">
      <c r="A130" s="4">
        <v>56</v>
      </c>
      <c r="B130" s="4" t="s">
        <v>11</v>
      </c>
      <c r="C130" s="6" t="s">
        <v>8</v>
      </c>
      <c r="D130" s="6" t="s">
        <v>9</v>
      </c>
      <c r="E130" s="4" t="s">
        <v>10</v>
      </c>
      <c r="F130" s="6">
        <v>148</v>
      </c>
      <c r="G130" s="6">
        <v>186</v>
      </c>
      <c r="H130" s="17">
        <f t="shared" si="0"/>
        <v>233.06079999999997</v>
      </c>
      <c r="I130" s="18">
        <f t="shared" si="3"/>
        <v>0.25301505376344069</v>
      </c>
      <c r="J130" s="18">
        <f t="shared" si="4"/>
        <v>0.25301505376344069</v>
      </c>
      <c r="K130" s="11"/>
    </row>
    <row r="131" spans="1:11">
      <c r="A131" s="4">
        <v>57</v>
      </c>
      <c r="B131" s="4" t="s">
        <v>11</v>
      </c>
      <c r="C131" s="6" t="s">
        <v>8</v>
      </c>
      <c r="D131" s="6" t="s">
        <v>9</v>
      </c>
      <c r="E131" s="4" t="s">
        <v>10</v>
      </c>
      <c r="F131" s="6">
        <v>152</v>
      </c>
      <c r="G131" s="6">
        <v>237</v>
      </c>
      <c r="H131" s="17">
        <f t="shared" si="0"/>
        <v>235.4092</v>
      </c>
      <c r="I131" s="18">
        <f t="shared" si="3"/>
        <v>-6.7122362869198376E-3</v>
      </c>
      <c r="J131" s="18">
        <f t="shared" si="4"/>
        <v>6.7122362869198376E-3</v>
      </c>
      <c r="K131" s="11"/>
    </row>
    <row r="132" spans="1:11">
      <c r="A132" s="4">
        <v>62</v>
      </c>
      <c r="B132" s="4" t="s">
        <v>11</v>
      </c>
      <c r="C132" s="6" t="s">
        <v>8</v>
      </c>
      <c r="D132" s="6" t="s">
        <v>9</v>
      </c>
      <c r="E132" s="4" t="s">
        <v>10</v>
      </c>
      <c r="F132" s="6">
        <v>160</v>
      </c>
      <c r="G132" s="6">
        <v>242</v>
      </c>
      <c r="H132" s="17">
        <f t="shared" si="0"/>
        <v>240.10599999999999</v>
      </c>
      <c r="I132" s="18">
        <f t="shared" si="3"/>
        <v>-7.8264462809917584E-3</v>
      </c>
      <c r="J132" s="18">
        <f t="shared" si="4"/>
        <v>7.8264462809917584E-3</v>
      </c>
      <c r="K132" s="11"/>
    </row>
    <row r="133" spans="1:11">
      <c r="A133" s="4">
        <v>65</v>
      </c>
      <c r="B133" s="4" t="s">
        <v>11</v>
      </c>
      <c r="C133" s="6" t="s">
        <v>8</v>
      </c>
      <c r="D133" s="6" t="s">
        <v>9</v>
      </c>
      <c r="E133" s="4" t="s">
        <v>10</v>
      </c>
      <c r="F133" s="6">
        <v>169</v>
      </c>
      <c r="G133" s="6">
        <v>215</v>
      </c>
      <c r="H133" s="17">
        <f t="shared" si="0"/>
        <v>245.38989999999998</v>
      </c>
      <c r="I133" s="18">
        <f t="shared" si="3"/>
        <v>0.14134837209302317</v>
      </c>
      <c r="J133" s="18">
        <f t="shared" si="4"/>
        <v>0.14134837209302317</v>
      </c>
      <c r="K133" s="11"/>
    </row>
    <row r="134" spans="1:11">
      <c r="A134" s="4">
        <v>67</v>
      </c>
      <c r="B134" s="4" t="s">
        <v>11</v>
      </c>
      <c r="C134" s="6" t="s">
        <v>8</v>
      </c>
      <c r="D134" s="6" t="s">
        <v>9</v>
      </c>
      <c r="E134" s="4" t="s">
        <v>16</v>
      </c>
      <c r="F134" s="6">
        <v>178</v>
      </c>
      <c r="G134" s="6">
        <v>290</v>
      </c>
      <c r="H134" s="17">
        <f t="shared" si="0"/>
        <v>250.67379999999997</v>
      </c>
      <c r="I134" s="18">
        <f t="shared" si="3"/>
        <v>-0.13560758620689664</v>
      </c>
      <c r="J134" s="18">
        <f t="shared" si="4"/>
        <v>0.13560758620689664</v>
      </c>
      <c r="K134" s="11"/>
    </row>
    <row r="137" spans="1:11" s="38" customFormat="1"/>
    <row r="138" spans="1:11" s="38" customFormat="1"/>
    <row r="139" spans="1:11" s="38" customFormat="1"/>
    <row r="140" spans="1:11" s="38" customFormat="1"/>
    <row r="141" spans="1:11" s="38" customFormat="1"/>
    <row r="142" spans="1:11" s="38" customFormat="1"/>
    <row r="143" spans="1:11" s="38" customFormat="1"/>
    <row r="144" spans="1:11" s="38" customFormat="1"/>
    <row r="145" spans="2:5" s="38" customFormat="1"/>
    <row r="146" spans="2:5" s="38" customFormat="1"/>
    <row r="147" spans="2:5" s="38" customFormat="1">
      <c r="B147" s="39"/>
    </row>
    <row r="148" spans="2:5" s="38" customFormat="1"/>
    <row r="149" spans="2:5" s="38" customFormat="1"/>
    <row r="150" spans="2:5" s="38" customFormat="1"/>
    <row r="151" spans="2:5" s="38" customFormat="1"/>
    <row r="152" spans="2:5" s="38" customFormat="1">
      <c r="B152" s="39"/>
      <c r="E152" s="40"/>
    </row>
    <row r="153" spans="2:5" s="38" customFormat="1"/>
    <row r="154" spans="2:5" s="38" customFormat="1"/>
    <row r="155" spans="2:5" s="38" customFormat="1"/>
    <row r="156" spans="2:5" s="38" customFormat="1"/>
    <row r="157" spans="2:5" s="38" customFormat="1">
      <c r="B157" s="39"/>
    </row>
    <row r="158" spans="2:5" s="38" customFormat="1"/>
    <row r="159" spans="2:5" s="38" customFormat="1"/>
    <row r="160" spans="2:5" s="38" customFormat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0A80-AD87-2A4F-A758-929B3D5D522D}">
  <dimension ref="A2:K173"/>
  <sheetViews>
    <sheetView topLeftCell="A125" workbookViewId="0">
      <selection activeCell="A150" sqref="A150:XFD173"/>
    </sheetView>
  </sheetViews>
  <sheetFormatPr baseColWidth="10" defaultColWidth="10.6640625" defaultRowHeight="16"/>
  <sheetData>
    <row r="2" spans="1:8">
      <c r="A2" t="s">
        <v>58</v>
      </c>
      <c r="H2" t="s">
        <v>57</v>
      </c>
    </row>
    <row r="21" spans="1:7" ht="32">
      <c r="A21" s="1" t="s">
        <v>0</v>
      </c>
      <c r="B21" s="8" t="s">
        <v>1</v>
      </c>
      <c r="C21" s="7" t="s">
        <v>2</v>
      </c>
      <c r="D21" s="7" t="s">
        <v>3</v>
      </c>
      <c r="E21" s="9" t="s">
        <v>4</v>
      </c>
      <c r="F21" s="2" t="s">
        <v>5</v>
      </c>
      <c r="G21" s="2" t="s">
        <v>6</v>
      </c>
    </row>
    <row r="22" spans="1:7">
      <c r="A22" s="4">
        <v>2</v>
      </c>
      <c r="B22" s="4" t="s">
        <v>11</v>
      </c>
      <c r="C22" s="6" t="s">
        <v>8</v>
      </c>
      <c r="D22" s="4" t="s">
        <v>12</v>
      </c>
      <c r="E22" s="4" t="s">
        <v>10</v>
      </c>
      <c r="F22" s="6">
        <v>28</v>
      </c>
      <c r="G22" s="6">
        <v>42</v>
      </c>
    </row>
    <row r="23" spans="1:7">
      <c r="A23" s="4">
        <v>4</v>
      </c>
      <c r="B23" s="4" t="s">
        <v>11</v>
      </c>
      <c r="C23" s="6" t="s">
        <v>8</v>
      </c>
      <c r="D23" s="4" t="s">
        <v>12</v>
      </c>
      <c r="E23" s="4" t="s">
        <v>10</v>
      </c>
      <c r="F23" s="6">
        <v>45</v>
      </c>
      <c r="G23" s="6">
        <v>68</v>
      </c>
    </row>
    <row r="24" spans="1:7">
      <c r="A24" s="4">
        <v>6</v>
      </c>
      <c r="B24" s="4" t="s">
        <v>11</v>
      </c>
      <c r="C24" s="6" t="s">
        <v>8</v>
      </c>
      <c r="D24" s="6" t="s">
        <v>9</v>
      </c>
      <c r="E24" s="4" t="s">
        <v>10</v>
      </c>
      <c r="F24" s="6">
        <v>51</v>
      </c>
      <c r="G24" s="6">
        <v>52</v>
      </c>
    </row>
    <row r="25" spans="1:7">
      <c r="A25" s="4">
        <v>9</v>
      </c>
      <c r="B25" s="4" t="s">
        <v>11</v>
      </c>
      <c r="C25" s="6" t="s">
        <v>8</v>
      </c>
      <c r="D25" s="4" t="s">
        <v>12</v>
      </c>
      <c r="E25" s="4" t="s">
        <v>10</v>
      </c>
      <c r="F25" s="6">
        <v>65</v>
      </c>
      <c r="G25" s="6">
        <v>139</v>
      </c>
    </row>
    <row r="26" spans="1:7">
      <c r="A26" s="4">
        <v>16</v>
      </c>
      <c r="B26" s="4" t="s">
        <v>11</v>
      </c>
      <c r="C26" s="6" t="s">
        <v>8</v>
      </c>
      <c r="D26" s="4" t="s">
        <v>12</v>
      </c>
      <c r="E26" s="4" t="s">
        <v>10</v>
      </c>
      <c r="F26" s="6">
        <v>75</v>
      </c>
      <c r="G26" s="6">
        <v>110</v>
      </c>
    </row>
    <row r="27" spans="1:7">
      <c r="A27" s="4">
        <v>18</v>
      </c>
      <c r="B27" s="4" t="s">
        <v>11</v>
      </c>
      <c r="C27" s="6" t="s">
        <v>8</v>
      </c>
      <c r="D27" s="6" t="s">
        <v>9</v>
      </c>
      <c r="E27" s="4" t="s">
        <v>10</v>
      </c>
      <c r="F27" s="6">
        <v>79</v>
      </c>
      <c r="G27" s="6">
        <v>142</v>
      </c>
    </row>
    <row r="28" spans="1:7">
      <c r="A28" s="4">
        <v>20</v>
      </c>
      <c r="B28" s="4" t="s">
        <v>11</v>
      </c>
      <c r="C28" s="4" t="s">
        <v>15</v>
      </c>
      <c r="D28" s="6" t="s">
        <v>9</v>
      </c>
      <c r="E28" s="4" t="s">
        <v>10</v>
      </c>
      <c r="F28" s="4">
        <v>80</v>
      </c>
      <c r="G28" s="4">
        <v>260</v>
      </c>
    </row>
    <row r="29" spans="1:7">
      <c r="A29" s="4">
        <v>22</v>
      </c>
      <c r="B29" s="4" t="s">
        <v>11</v>
      </c>
      <c r="C29" s="6" t="s">
        <v>8</v>
      </c>
      <c r="D29" s="6" t="s">
        <v>9</v>
      </c>
      <c r="E29" s="4" t="s">
        <v>10</v>
      </c>
      <c r="F29" s="6">
        <v>81</v>
      </c>
      <c r="G29" s="6">
        <v>190</v>
      </c>
    </row>
    <row r="30" spans="1:7">
      <c r="A30" s="4">
        <v>28</v>
      </c>
      <c r="B30" s="4" t="s">
        <v>11</v>
      </c>
      <c r="C30" s="6" t="s">
        <v>8</v>
      </c>
      <c r="D30" s="6" t="s">
        <v>9</v>
      </c>
      <c r="E30" s="4" t="s">
        <v>10</v>
      </c>
      <c r="F30" s="6">
        <v>87</v>
      </c>
      <c r="G30" s="6">
        <v>170</v>
      </c>
    </row>
    <row r="31" spans="1:7">
      <c r="A31" s="4">
        <v>29</v>
      </c>
      <c r="B31" s="4" t="s">
        <v>11</v>
      </c>
      <c r="C31" s="6" t="s">
        <v>8</v>
      </c>
      <c r="D31" s="6" t="s">
        <v>9</v>
      </c>
      <c r="E31" s="4" t="s">
        <v>10</v>
      </c>
      <c r="F31" s="6">
        <v>90</v>
      </c>
      <c r="G31" s="6">
        <v>189</v>
      </c>
    </row>
    <row r="32" spans="1:7">
      <c r="A32" s="4">
        <v>31</v>
      </c>
      <c r="B32" s="4" t="s">
        <v>11</v>
      </c>
      <c r="C32" s="4" t="s">
        <v>17</v>
      </c>
      <c r="D32" s="4" t="s">
        <v>12</v>
      </c>
      <c r="E32" s="4" t="s">
        <v>10</v>
      </c>
      <c r="F32" s="6">
        <v>92</v>
      </c>
      <c r="G32" s="6">
        <v>195</v>
      </c>
    </row>
    <row r="33" spans="1:7">
      <c r="A33" s="4">
        <v>34</v>
      </c>
      <c r="B33" s="4" t="s">
        <v>11</v>
      </c>
      <c r="C33" s="6" t="s">
        <v>8</v>
      </c>
      <c r="D33" s="6" t="s">
        <v>9</v>
      </c>
      <c r="E33" s="4" t="s">
        <v>10</v>
      </c>
      <c r="F33" s="6">
        <v>102</v>
      </c>
      <c r="G33" s="6">
        <v>200</v>
      </c>
    </row>
    <row r="34" spans="1:7">
      <c r="A34" s="4">
        <v>50</v>
      </c>
      <c r="B34" s="4" t="s">
        <v>11</v>
      </c>
      <c r="C34" s="6" t="s">
        <v>8</v>
      </c>
      <c r="D34" s="4" t="s">
        <v>12</v>
      </c>
      <c r="E34" s="4" t="s">
        <v>10</v>
      </c>
      <c r="F34" s="6">
        <v>127</v>
      </c>
      <c r="G34" s="6">
        <v>215</v>
      </c>
    </row>
    <row r="35" spans="1:7">
      <c r="A35" s="4">
        <v>53</v>
      </c>
      <c r="B35" s="4" t="s">
        <v>11</v>
      </c>
      <c r="C35" s="6" t="s">
        <v>8</v>
      </c>
      <c r="D35" s="6" t="s">
        <v>9</v>
      </c>
      <c r="E35" s="4" t="s">
        <v>10</v>
      </c>
      <c r="F35" s="6">
        <v>136</v>
      </c>
      <c r="G35" s="6">
        <v>220</v>
      </c>
    </row>
    <row r="36" spans="1:7">
      <c r="A36" s="4">
        <v>56</v>
      </c>
      <c r="B36" s="4" t="s">
        <v>11</v>
      </c>
      <c r="C36" s="6" t="s">
        <v>8</v>
      </c>
      <c r="D36" s="6" t="s">
        <v>9</v>
      </c>
      <c r="E36" s="4" t="s">
        <v>10</v>
      </c>
      <c r="F36" s="6">
        <v>148</v>
      </c>
      <c r="G36" s="6">
        <v>186</v>
      </c>
    </row>
    <row r="37" spans="1:7">
      <c r="A37" s="4">
        <v>57</v>
      </c>
      <c r="B37" s="4" t="s">
        <v>11</v>
      </c>
      <c r="C37" s="6" t="s">
        <v>8</v>
      </c>
      <c r="D37" s="6" t="s">
        <v>9</v>
      </c>
      <c r="E37" s="4" t="s">
        <v>10</v>
      </c>
      <c r="F37" s="6">
        <v>152</v>
      </c>
      <c r="G37" s="6">
        <v>237</v>
      </c>
    </row>
    <row r="38" spans="1:7">
      <c r="A38" s="4">
        <v>62</v>
      </c>
      <c r="B38" s="4" t="s">
        <v>11</v>
      </c>
      <c r="C38" s="6" t="s">
        <v>8</v>
      </c>
      <c r="D38" s="6" t="s">
        <v>9</v>
      </c>
      <c r="E38" s="4" t="s">
        <v>10</v>
      </c>
      <c r="F38" s="6">
        <v>160</v>
      </c>
      <c r="G38" s="6">
        <v>242</v>
      </c>
    </row>
    <row r="39" spans="1:7">
      <c r="A39" s="4">
        <v>65</v>
      </c>
      <c r="B39" s="4" t="s">
        <v>11</v>
      </c>
      <c r="C39" s="6" t="s">
        <v>8</v>
      </c>
      <c r="D39" s="6" t="s">
        <v>9</v>
      </c>
      <c r="E39" s="4" t="s">
        <v>10</v>
      </c>
      <c r="F39" s="6">
        <v>169</v>
      </c>
      <c r="G39" s="6">
        <v>215</v>
      </c>
    </row>
    <row r="41" spans="1:7">
      <c r="A41" t="s">
        <v>18</v>
      </c>
    </row>
    <row r="42" spans="1:7" ht="20">
      <c r="A42" s="13" t="s">
        <v>19</v>
      </c>
    </row>
    <row r="43" spans="1:7" ht="17">
      <c r="A43" s="14" t="s">
        <v>20</v>
      </c>
      <c r="B43" s="14" t="s">
        <v>21</v>
      </c>
      <c r="C43" s="14" t="s">
        <v>22</v>
      </c>
      <c r="D43" s="14" t="s">
        <v>23</v>
      </c>
      <c r="E43" s="14" t="s">
        <v>24</v>
      </c>
      <c r="F43" s="14" t="s">
        <v>25</v>
      </c>
      <c r="G43" s="14" t="s">
        <v>26</v>
      </c>
    </row>
    <row r="44" spans="1:7" ht="17">
      <c r="A44" s="14" t="s">
        <v>5</v>
      </c>
      <c r="B44" s="14">
        <v>18</v>
      </c>
      <c r="C44" s="14">
        <v>98.167000000000002</v>
      </c>
      <c r="D44" s="14">
        <v>41.537999999999997</v>
      </c>
      <c r="E44" s="14">
        <v>28</v>
      </c>
      <c r="F44" s="14">
        <v>88.5</v>
      </c>
      <c r="G44" s="14">
        <v>169</v>
      </c>
    </row>
    <row r="46" spans="1:7" ht="20">
      <c r="A46" s="13" t="s">
        <v>19</v>
      </c>
    </row>
    <row r="47" spans="1:7" ht="17">
      <c r="A47" s="14" t="s">
        <v>20</v>
      </c>
      <c r="B47" s="14" t="s">
        <v>21</v>
      </c>
      <c r="C47" s="14" t="s">
        <v>22</v>
      </c>
      <c r="D47" s="14" t="s">
        <v>23</v>
      </c>
      <c r="E47" s="14" t="s">
        <v>24</v>
      </c>
      <c r="F47" s="14" t="s">
        <v>25</v>
      </c>
      <c r="G47" s="14" t="s">
        <v>26</v>
      </c>
    </row>
    <row r="48" spans="1:7" ht="17">
      <c r="A48" s="14" t="s">
        <v>6</v>
      </c>
      <c r="B48" s="14">
        <v>18</v>
      </c>
      <c r="C48" s="14">
        <v>170.67</v>
      </c>
      <c r="D48" s="14">
        <v>65.489999999999995</v>
      </c>
      <c r="E48" s="14">
        <v>42</v>
      </c>
      <c r="F48" s="14">
        <v>189.5</v>
      </c>
      <c r="G48" s="14">
        <v>260</v>
      </c>
    </row>
    <row r="51" spans="1:8">
      <c r="A51" t="s">
        <v>28</v>
      </c>
    </row>
    <row r="52" spans="1:8" ht="20">
      <c r="A52" s="13" t="s">
        <v>29</v>
      </c>
    </row>
    <row r="53" spans="1:8" ht="17">
      <c r="A53" s="14" t="s">
        <v>30</v>
      </c>
      <c r="B53" s="14" t="s">
        <v>6</v>
      </c>
      <c r="C53" s="14"/>
      <c r="D53" s="14"/>
      <c r="E53" s="14"/>
      <c r="F53" s="14"/>
    </row>
    <row r="54" spans="1:8" ht="17">
      <c r="A54" s="14">
        <v>7</v>
      </c>
      <c r="B54" s="14">
        <v>260</v>
      </c>
      <c r="C54" s="14"/>
      <c r="D54" s="14"/>
      <c r="E54" s="14"/>
      <c r="F54" s="14"/>
    </row>
    <row r="56" spans="1:8" ht="32">
      <c r="A56" s="1" t="s">
        <v>0</v>
      </c>
      <c r="B56" s="8" t="s">
        <v>1</v>
      </c>
      <c r="C56" s="7" t="s">
        <v>2</v>
      </c>
      <c r="D56" s="7" t="s">
        <v>3</v>
      </c>
      <c r="E56" s="9" t="s">
        <v>4</v>
      </c>
      <c r="F56" s="2" t="s">
        <v>5</v>
      </c>
      <c r="G56" s="2" t="s">
        <v>6</v>
      </c>
    </row>
    <row r="57" spans="1:8">
      <c r="A57" s="4">
        <v>2</v>
      </c>
      <c r="B57" s="4" t="s">
        <v>11</v>
      </c>
      <c r="C57" s="6" t="s">
        <v>8</v>
      </c>
      <c r="D57" s="4" t="s">
        <v>12</v>
      </c>
      <c r="E57" s="4" t="s">
        <v>10</v>
      </c>
      <c r="F57" s="6">
        <v>28</v>
      </c>
      <c r="G57" s="6">
        <v>42</v>
      </c>
    </row>
    <row r="58" spans="1:8">
      <c r="A58" s="4">
        <v>4</v>
      </c>
      <c r="B58" s="4" t="s">
        <v>11</v>
      </c>
      <c r="C58" s="6" t="s">
        <v>8</v>
      </c>
      <c r="D58" s="4" t="s">
        <v>12</v>
      </c>
      <c r="E58" s="4" t="s">
        <v>10</v>
      </c>
      <c r="F58" s="6">
        <v>45</v>
      </c>
      <c r="G58" s="6">
        <v>68</v>
      </c>
    </row>
    <row r="59" spans="1:8">
      <c r="A59" s="4">
        <v>6</v>
      </c>
      <c r="B59" s="4" t="s">
        <v>11</v>
      </c>
      <c r="C59" s="6" t="s">
        <v>8</v>
      </c>
      <c r="D59" s="6" t="s">
        <v>9</v>
      </c>
      <c r="E59" s="4" t="s">
        <v>10</v>
      </c>
      <c r="F59" s="6">
        <v>51</v>
      </c>
      <c r="G59" s="6">
        <v>52</v>
      </c>
    </row>
    <row r="60" spans="1:8">
      <c r="A60" s="4">
        <v>9</v>
      </c>
      <c r="B60" s="4" t="s">
        <v>11</v>
      </c>
      <c r="C60" s="6" t="s">
        <v>8</v>
      </c>
      <c r="D60" s="4" t="s">
        <v>12</v>
      </c>
      <c r="E60" s="4" t="s">
        <v>10</v>
      </c>
      <c r="F60" s="6">
        <v>65</v>
      </c>
      <c r="G60" s="6">
        <v>139</v>
      </c>
    </row>
    <row r="61" spans="1:8">
      <c r="A61" s="4">
        <v>16</v>
      </c>
      <c r="B61" s="4" t="s">
        <v>11</v>
      </c>
      <c r="C61" s="6" t="s">
        <v>8</v>
      </c>
      <c r="D61" s="4" t="s">
        <v>12</v>
      </c>
      <c r="E61" s="4" t="s">
        <v>10</v>
      </c>
      <c r="F61" s="6">
        <v>75</v>
      </c>
      <c r="G61" s="6">
        <v>110</v>
      </c>
    </row>
    <row r="62" spans="1:8">
      <c r="A62" s="4">
        <v>18</v>
      </c>
      <c r="B62" s="4" t="s">
        <v>11</v>
      </c>
      <c r="C62" s="6" t="s">
        <v>8</v>
      </c>
      <c r="D62" s="6" t="s">
        <v>9</v>
      </c>
      <c r="E62" s="4" t="s">
        <v>10</v>
      </c>
      <c r="F62" s="6">
        <v>79</v>
      </c>
      <c r="G62" s="6">
        <v>142</v>
      </c>
    </row>
    <row r="63" spans="1:8">
      <c r="A63" s="4">
        <v>20</v>
      </c>
      <c r="B63" s="4" t="s">
        <v>11</v>
      </c>
      <c r="C63" s="4" t="s">
        <v>15</v>
      </c>
      <c r="D63" s="6" t="s">
        <v>9</v>
      </c>
      <c r="E63" s="4" t="s">
        <v>10</v>
      </c>
      <c r="F63" s="4">
        <v>80</v>
      </c>
      <c r="G63" s="4">
        <v>260</v>
      </c>
      <c r="H63" s="21" t="s">
        <v>31</v>
      </c>
    </row>
    <row r="64" spans="1:8">
      <c r="A64" s="4">
        <v>22</v>
      </c>
      <c r="B64" s="4" t="s">
        <v>11</v>
      </c>
      <c r="C64" s="6" t="s">
        <v>8</v>
      </c>
      <c r="D64" s="6" t="s">
        <v>9</v>
      </c>
      <c r="E64" s="4" t="s">
        <v>10</v>
      </c>
      <c r="F64" s="6">
        <v>81</v>
      </c>
      <c r="G64" s="6">
        <v>190</v>
      </c>
    </row>
    <row r="65" spans="1:7">
      <c r="A65" s="4">
        <v>28</v>
      </c>
      <c r="B65" s="4" t="s">
        <v>11</v>
      </c>
      <c r="C65" s="6" t="s">
        <v>8</v>
      </c>
      <c r="D65" s="6" t="s">
        <v>9</v>
      </c>
      <c r="E65" s="4" t="s">
        <v>10</v>
      </c>
      <c r="F65" s="6">
        <v>87</v>
      </c>
      <c r="G65" s="6">
        <v>170</v>
      </c>
    </row>
    <row r="66" spans="1:7">
      <c r="A66" s="4">
        <v>29</v>
      </c>
      <c r="B66" s="4" t="s">
        <v>11</v>
      </c>
      <c r="C66" s="6" t="s">
        <v>8</v>
      </c>
      <c r="D66" s="6" t="s">
        <v>9</v>
      </c>
      <c r="E66" s="4" t="s">
        <v>10</v>
      </c>
      <c r="F66" s="6">
        <v>90</v>
      </c>
      <c r="G66" s="6">
        <v>189</v>
      </c>
    </row>
    <row r="67" spans="1:7">
      <c r="A67" s="4">
        <v>31</v>
      </c>
      <c r="B67" s="4" t="s">
        <v>11</v>
      </c>
      <c r="C67" s="4" t="s">
        <v>17</v>
      </c>
      <c r="D67" s="4" t="s">
        <v>12</v>
      </c>
      <c r="E67" s="4" t="s">
        <v>10</v>
      </c>
      <c r="F67" s="6">
        <v>92</v>
      </c>
      <c r="G67" s="6">
        <v>195</v>
      </c>
    </row>
    <row r="68" spans="1:7">
      <c r="A68" s="4">
        <v>34</v>
      </c>
      <c r="B68" s="4" t="s">
        <v>11</v>
      </c>
      <c r="C68" s="6" t="s">
        <v>8</v>
      </c>
      <c r="D68" s="6" t="s">
        <v>9</v>
      </c>
      <c r="E68" s="4" t="s">
        <v>10</v>
      </c>
      <c r="F68" s="6">
        <v>102</v>
      </c>
      <c r="G68" s="6">
        <v>200</v>
      </c>
    </row>
    <row r="69" spans="1:7">
      <c r="A69" s="4">
        <v>50</v>
      </c>
      <c r="B69" s="4" t="s">
        <v>11</v>
      </c>
      <c r="C69" s="6" t="s">
        <v>8</v>
      </c>
      <c r="D69" s="4" t="s">
        <v>12</v>
      </c>
      <c r="E69" s="4" t="s">
        <v>10</v>
      </c>
      <c r="F69" s="6">
        <v>127</v>
      </c>
      <c r="G69" s="6">
        <v>215</v>
      </c>
    </row>
    <row r="70" spans="1:7">
      <c r="A70" s="4">
        <v>53</v>
      </c>
      <c r="B70" s="4" t="s">
        <v>11</v>
      </c>
      <c r="C70" s="6" t="s">
        <v>8</v>
      </c>
      <c r="D70" s="6" t="s">
        <v>9</v>
      </c>
      <c r="E70" s="4" t="s">
        <v>10</v>
      </c>
      <c r="F70" s="6">
        <v>136</v>
      </c>
      <c r="G70" s="6">
        <v>220</v>
      </c>
    </row>
    <row r="71" spans="1:7">
      <c r="A71" s="4">
        <v>56</v>
      </c>
      <c r="B71" s="4" t="s">
        <v>11</v>
      </c>
      <c r="C71" s="6" t="s">
        <v>8</v>
      </c>
      <c r="D71" s="6" t="s">
        <v>9</v>
      </c>
      <c r="E71" s="4" t="s">
        <v>10</v>
      </c>
      <c r="F71" s="6">
        <v>148</v>
      </c>
      <c r="G71" s="6">
        <v>186</v>
      </c>
    </row>
    <row r="72" spans="1:7">
      <c r="A72" s="4">
        <v>57</v>
      </c>
      <c r="B72" s="4" t="s">
        <v>11</v>
      </c>
      <c r="C72" s="6" t="s">
        <v>8</v>
      </c>
      <c r="D72" s="6" t="s">
        <v>9</v>
      </c>
      <c r="E72" s="4" t="s">
        <v>10</v>
      </c>
      <c r="F72" s="6">
        <v>152</v>
      </c>
      <c r="G72" s="6">
        <v>237</v>
      </c>
    </row>
    <row r="73" spans="1:7">
      <c r="A73" s="4">
        <v>62</v>
      </c>
      <c r="B73" s="4" t="s">
        <v>11</v>
      </c>
      <c r="C73" s="6" t="s">
        <v>8</v>
      </c>
      <c r="D73" s="6" t="s">
        <v>9</v>
      </c>
      <c r="E73" s="4" t="s">
        <v>10</v>
      </c>
      <c r="F73" s="6">
        <v>160</v>
      </c>
      <c r="G73" s="6">
        <v>242</v>
      </c>
    </row>
    <row r="74" spans="1:7">
      <c r="A74" s="4">
        <v>65</v>
      </c>
      <c r="B74" s="4" t="s">
        <v>11</v>
      </c>
      <c r="C74" s="6" t="s">
        <v>8</v>
      </c>
      <c r="D74" s="6" t="s">
        <v>9</v>
      </c>
      <c r="E74" s="4" t="s">
        <v>10</v>
      </c>
      <c r="F74" s="6">
        <v>169</v>
      </c>
      <c r="G74" s="6">
        <v>215</v>
      </c>
    </row>
    <row r="76" spans="1:7" ht="32">
      <c r="A76" s="1" t="s">
        <v>0</v>
      </c>
      <c r="B76" s="8" t="s">
        <v>1</v>
      </c>
      <c r="C76" s="7" t="s">
        <v>2</v>
      </c>
      <c r="D76" s="7" t="s">
        <v>3</v>
      </c>
      <c r="E76" s="9" t="s">
        <v>4</v>
      </c>
      <c r="F76" s="2" t="s">
        <v>5</v>
      </c>
      <c r="G76" s="2" t="s">
        <v>6</v>
      </c>
    </row>
    <row r="77" spans="1:7">
      <c r="A77" s="4">
        <v>2</v>
      </c>
      <c r="B77" s="4" t="s">
        <v>11</v>
      </c>
      <c r="C77" s="6" t="s">
        <v>8</v>
      </c>
      <c r="D77" s="4" t="s">
        <v>12</v>
      </c>
      <c r="E77" s="4" t="s">
        <v>10</v>
      </c>
      <c r="F77" s="6">
        <v>28</v>
      </c>
      <c r="G77" s="6">
        <v>42</v>
      </c>
    </row>
    <row r="78" spans="1:7">
      <c r="A78" s="4">
        <v>4</v>
      </c>
      <c r="B78" s="4" t="s">
        <v>11</v>
      </c>
      <c r="C78" s="6" t="s">
        <v>8</v>
      </c>
      <c r="D78" s="4" t="s">
        <v>12</v>
      </c>
      <c r="E78" s="4" t="s">
        <v>10</v>
      </c>
      <c r="F78" s="6">
        <v>45</v>
      </c>
      <c r="G78" s="6">
        <v>68</v>
      </c>
    </row>
    <row r="79" spans="1:7">
      <c r="A79" s="4">
        <v>6</v>
      </c>
      <c r="B79" s="4" t="s">
        <v>11</v>
      </c>
      <c r="C79" s="6" t="s">
        <v>8</v>
      </c>
      <c r="D79" s="6" t="s">
        <v>9</v>
      </c>
      <c r="E79" s="4" t="s">
        <v>10</v>
      </c>
      <c r="F79" s="6">
        <v>51</v>
      </c>
      <c r="G79" s="6">
        <v>52</v>
      </c>
    </row>
    <row r="80" spans="1:7">
      <c r="A80" s="4">
        <v>9</v>
      </c>
      <c r="B80" s="4" t="s">
        <v>11</v>
      </c>
      <c r="C80" s="6" t="s">
        <v>8</v>
      </c>
      <c r="D80" s="4" t="s">
        <v>12</v>
      </c>
      <c r="E80" s="4" t="s">
        <v>10</v>
      </c>
      <c r="F80" s="6">
        <v>65</v>
      </c>
      <c r="G80" s="6">
        <v>139</v>
      </c>
    </row>
    <row r="81" spans="1:7">
      <c r="A81" s="4">
        <v>16</v>
      </c>
      <c r="B81" s="4" t="s">
        <v>11</v>
      </c>
      <c r="C81" s="6" t="s">
        <v>8</v>
      </c>
      <c r="D81" s="4" t="s">
        <v>12</v>
      </c>
      <c r="E81" s="4" t="s">
        <v>10</v>
      </c>
      <c r="F81" s="6">
        <v>75</v>
      </c>
      <c r="G81" s="6">
        <v>110</v>
      </c>
    </row>
    <row r="82" spans="1:7">
      <c r="A82" s="4">
        <v>18</v>
      </c>
      <c r="B82" s="4" t="s">
        <v>11</v>
      </c>
      <c r="C82" s="6" t="s">
        <v>8</v>
      </c>
      <c r="D82" s="6" t="s">
        <v>9</v>
      </c>
      <c r="E82" s="4" t="s">
        <v>10</v>
      </c>
      <c r="F82" s="6">
        <v>79</v>
      </c>
      <c r="G82" s="6">
        <v>142</v>
      </c>
    </row>
    <row r="83" spans="1:7">
      <c r="A83" s="4">
        <v>22</v>
      </c>
      <c r="B83" s="4" t="s">
        <v>11</v>
      </c>
      <c r="C83" s="6" t="s">
        <v>8</v>
      </c>
      <c r="D83" s="6" t="s">
        <v>9</v>
      </c>
      <c r="E83" s="4" t="s">
        <v>10</v>
      </c>
      <c r="F83" s="6">
        <v>81</v>
      </c>
      <c r="G83" s="6">
        <v>190</v>
      </c>
    </row>
    <row r="84" spans="1:7">
      <c r="A84" s="4">
        <v>28</v>
      </c>
      <c r="B84" s="4" t="s">
        <v>11</v>
      </c>
      <c r="C84" s="6" t="s">
        <v>8</v>
      </c>
      <c r="D84" s="6" t="s">
        <v>9</v>
      </c>
      <c r="E84" s="4" t="s">
        <v>10</v>
      </c>
      <c r="F84" s="6">
        <v>87</v>
      </c>
      <c r="G84" s="6">
        <v>170</v>
      </c>
    </row>
    <row r="85" spans="1:7">
      <c r="A85" s="4">
        <v>29</v>
      </c>
      <c r="B85" s="4" t="s">
        <v>11</v>
      </c>
      <c r="C85" s="6" t="s">
        <v>8</v>
      </c>
      <c r="D85" s="6" t="s">
        <v>9</v>
      </c>
      <c r="E85" s="4" t="s">
        <v>10</v>
      </c>
      <c r="F85" s="6">
        <v>90</v>
      </c>
      <c r="G85" s="6">
        <v>189</v>
      </c>
    </row>
    <row r="86" spans="1:7">
      <c r="A86" s="4">
        <v>31</v>
      </c>
      <c r="B86" s="4" t="s">
        <v>11</v>
      </c>
      <c r="C86" s="4" t="s">
        <v>17</v>
      </c>
      <c r="D86" s="4" t="s">
        <v>12</v>
      </c>
      <c r="E86" s="4" t="s">
        <v>10</v>
      </c>
      <c r="F86" s="6">
        <v>92</v>
      </c>
      <c r="G86" s="6">
        <v>195</v>
      </c>
    </row>
    <row r="87" spans="1:7">
      <c r="A87" s="4">
        <v>34</v>
      </c>
      <c r="B87" s="4" t="s">
        <v>11</v>
      </c>
      <c r="C87" s="6" t="s">
        <v>8</v>
      </c>
      <c r="D87" s="6" t="s">
        <v>9</v>
      </c>
      <c r="E87" s="4" t="s">
        <v>10</v>
      </c>
      <c r="F87" s="6">
        <v>102</v>
      </c>
      <c r="G87" s="6">
        <v>200</v>
      </c>
    </row>
    <row r="88" spans="1:7">
      <c r="A88" s="4">
        <v>50</v>
      </c>
      <c r="B88" s="4" t="s">
        <v>11</v>
      </c>
      <c r="C88" s="6" t="s">
        <v>8</v>
      </c>
      <c r="D88" s="4" t="s">
        <v>12</v>
      </c>
      <c r="E88" s="4" t="s">
        <v>10</v>
      </c>
      <c r="F88" s="6">
        <v>127</v>
      </c>
      <c r="G88" s="6">
        <v>215</v>
      </c>
    </row>
    <row r="89" spans="1:7">
      <c r="A89" s="4">
        <v>53</v>
      </c>
      <c r="B89" s="4" t="s">
        <v>11</v>
      </c>
      <c r="C89" s="6" t="s">
        <v>8</v>
      </c>
      <c r="D89" s="6" t="s">
        <v>9</v>
      </c>
      <c r="E89" s="4" t="s">
        <v>10</v>
      </c>
      <c r="F89" s="6">
        <v>136</v>
      </c>
      <c r="G89" s="6">
        <v>220</v>
      </c>
    </row>
    <row r="90" spans="1:7">
      <c r="A90" s="4">
        <v>56</v>
      </c>
      <c r="B90" s="4" t="s">
        <v>11</v>
      </c>
      <c r="C90" s="6" t="s">
        <v>8</v>
      </c>
      <c r="D90" s="6" t="s">
        <v>9</v>
      </c>
      <c r="E90" s="4" t="s">
        <v>10</v>
      </c>
      <c r="F90" s="6">
        <v>148</v>
      </c>
      <c r="G90" s="6">
        <v>186</v>
      </c>
    </row>
    <row r="91" spans="1:7">
      <c r="A91" s="4">
        <v>57</v>
      </c>
      <c r="B91" s="4" t="s">
        <v>11</v>
      </c>
      <c r="C91" s="6" t="s">
        <v>8</v>
      </c>
      <c r="D91" s="6" t="s">
        <v>9</v>
      </c>
      <c r="E91" s="4" t="s">
        <v>10</v>
      </c>
      <c r="F91" s="6">
        <v>152</v>
      </c>
      <c r="G91" s="6">
        <v>237</v>
      </c>
    </row>
    <row r="92" spans="1:7">
      <c r="A92" s="4">
        <v>62</v>
      </c>
      <c r="B92" s="4" t="s">
        <v>11</v>
      </c>
      <c r="C92" s="6" t="s">
        <v>8</v>
      </c>
      <c r="D92" s="6" t="s">
        <v>9</v>
      </c>
      <c r="E92" s="4" t="s">
        <v>10</v>
      </c>
      <c r="F92" s="6">
        <v>160</v>
      </c>
      <c r="G92" s="6">
        <v>242</v>
      </c>
    </row>
    <row r="93" spans="1:7">
      <c r="A93" s="4">
        <v>65</v>
      </c>
      <c r="B93" s="4" t="s">
        <v>11</v>
      </c>
      <c r="C93" s="6" t="s">
        <v>8</v>
      </c>
      <c r="D93" s="6" t="s">
        <v>9</v>
      </c>
      <c r="E93" s="4" t="s">
        <v>10</v>
      </c>
      <c r="F93" s="6">
        <v>169</v>
      </c>
      <c r="G93" s="6">
        <v>215</v>
      </c>
    </row>
    <row r="95" spans="1:7">
      <c r="A95" t="s">
        <v>28</v>
      </c>
    </row>
    <row r="96" spans="1:7">
      <c r="A96" t="s">
        <v>31</v>
      </c>
      <c r="B96" t="s">
        <v>32</v>
      </c>
    </row>
    <row r="97" spans="1:4" ht="20">
      <c r="A97" s="10" t="s">
        <v>33</v>
      </c>
      <c r="D97" s="10" t="s">
        <v>33</v>
      </c>
    </row>
    <row r="98" spans="1:4" ht="20">
      <c r="A98" s="33">
        <v>17</v>
      </c>
      <c r="D98" s="33">
        <v>17</v>
      </c>
    </row>
    <row r="99" spans="1:4" ht="20">
      <c r="A99" s="10" t="s">
        <v>45</v>
      </c>
      <c r="D99" s="10" t="s">
        <v>45</v>
      </c>
    </row>
    <row r="100" spans="1:4" ht="20">
      <c r="A100" s="10">
        <v>1</v>
      </c>
      <c r="D100" s="10">
        <v>1</v>
      </c>
    </row>
    <row r="101" spans="1:4" ht="20">
      <c r="A101" s="10" t="s">
        <v>34</v>
      </c>
      <c r="D101" s="10" t="s">
        <v>34</v>
      </c>
    </row>
    <row r="102" spans="1:4" ht="20">
      <c r="A102" s="10" t="s">
        <v>0</v>
      </c>
      <c r="D102" s="10" t="s">
        <v>0</v>
      </c>
    </row>
    <row r="103" spans="1:4" ht="20">
      <c r="A103" s="10"/>
      <c r="D103" s="10"/>
    </row>
    <row r="104" spans="1:4">
      <c r="A104" t="s">
        <v>48</v>
      </c>
    </row>
    <row r="120" spans="1:1" ht="20">
      <c r="A120" s="13" t="s">
        <v>36</v>
      </c>
    </row>
    <row r="121" spans="1:1" ht="17">
      <c r="A121" s="14" t="s">
        <v>37</v>
      </c>
    </row>
    <row r="122" spans="1:1" ht="17">
      <c r="A122" s="15">
        <v>0.74490000000000001</v>
      </c>
    </row>
    <row r="125" spans="1:1" ht="20">
      <c r="A125" s="13" t="s">
        <v>38</v>
      </c>
    </row>
    <row r="126" spans="1:1" ht="17">
      <c r="A126" s="14" t="s">
        <v>49</v>
      </c>
    </row>
    <row r="129" spans="1:11">
      <c r="A129" t="s">
        <v>40</v>
      </c>
    </row>
    <row r="130" spans="1:11" ht="32">
      <c r="A130" s="1" t="s">
        <v>0</v>
      </c>
      <c r="B130" s="8" t="s">
        <v>1</v>
      </c>
      <c r="C130" s="7" t="s">
        <v>2</v>
      </c>
      <c r="D130" s="7" t="s">
        <v>3</v>
      </c>
      <c r="E130" s="9" t="s">
        <v>4</v>
      </c>
      <c r="F130" s="2" t="s">
        <v>5</v>
      </c>
      <c r="G130" s="2" t="s">
        <v>6</v>
      </c>
      <c r="H130" s="2" t="s">
        <v>41</v>
      </c>
      <c r="I130" s="2" t="s">
        <v>42</v>
      </c>
      <c r="J130" s="2" t="s">
        <v>43</v>
      </c>
      <c r="K130" s="2" t="s">
        <v>40</v>
      </c>
    </row>
    <row r="131" spans="1:11">
      <c r="A131" s="4">
        <v>2</v>
      </c>
      <c r="B131" s="4" t="s">
        <v>11</v>
      </c>
      <c r="C131" s="6" t="s">
        <v>8</v>
      </c>
      <c r="D131" s="4" t="s">
        <v>12</v>
      </c>
      <c r="E131" s="4" t="s">
        <v>10</v>
      </c>
      <c r="F131" s="6">
        <v>28</v>
      </c>
      <c r="G131" s="6">
        <v>42</v>
      </c>
      <c r="H131" s="17">
        <f>36.32+1.3009*F131</f>
        <v>72.745199999999997</v>
      </c>
      <c r="I131" s="18">
        <f>(H131-G131)/G131</f>
        <v>0.73202857142857136</v>
      </c>
      <c r="J131" s="18">
        <f>ABS(I131)</f>
        <v>0.73202857142857136</v>
      </c>
      <c r="K131" s="18">
        <f>AVERAGE(J131:J147)</f>
        <v>0.23090363689738821</v>
      </c>
    </row>
    <row r="132" spans="1:11">
      <c r="A132" s="4">
        <v>4</v>
      </c>
      <c r="B132" s="4" t="s">
        <v>11</v>
      </c>
      <c r="C132" s="6" t="s">
        <v>8</v>
      </c>
      <c r="D132" s="4" t="s">
        <v>12</v>
      </c>
      <c r="E132" s="4" t="s">
        <v>10</v>
      </c>
      <c r="F132" s="6">
        <v>45</v>
      </c>
      <c r="G132" s="6">
        <v>68</v>
      </c>
      <c r="H132" s="17">
        <f t="shared" ref="H132:H147" si="0">36.32+1.3009*F132</f>
        <v>94.860500000000002</v>
      </c>
      <c r="I132" s="18">
        <f t="shared" ref="I132:I134" si="1">(H132-G132)/G132</f>
        <v>0.3950073529411765</v>
      </c>
      <c r="J132" s="18">
        <f t="shared" ref="J132:J134" si="2">ABS(I132)</f>
        <v>0.3950073529411765</v>
      </c>
      <c r="K132" s="11"/>
    </row>
    <row r="133" spans="1:11">
      <c r="A133" s="4">
        <v>6</v>
      </c>
      <c r="B133" s="4" t="s">
        <v>11</v>
      </c>
      <c r="C133" s="6" t="s">
        <v>8</v>
      </c>
      <c r="D133" s="6" t="s">
        <v>9</v>
      </c>
      <c r="E133" s="4" t="s">
        <v>10</v>
      </c>
      <c r="F133" s="6">
        <v>51</v>
      </c>
      <c r="G133" s="6">
        <v>52</v>
      </c>
      <c r="H133" s="17">
        <f t="shared" si="0"/>
        <v>102.66589999999999</v>
      </c>
      <c r="I133" s="18">
        <f t="shared" si="1"/>
        <v>0.9743442307692306</v>
      </c>
      <c r="J133" s="18">
        <f t="shared" si="2"/>
        <v>0.9743442307692306</v>
      </c>
      <c r="K133" s="11"/>
    </row>
    <row r="134" spans="1:11">
      <c r="A134" s="4">
        <v>9</v>
      </c>
      <c r="B134" s="4" t="s">
        <v>11</v>
      </c>
      <c r="C134" s="6" t="s">
        <v>8</v>
      </c>
      <c r="D134" s="4" t="s">
        <v>12</v>
      </c>
      <c r="E134" s="4" t="s">
        <v>10</v>
      </c>
      <c r="F134" s="6">
        <v>65</v>
      </c>
      <c r="G134" s="6">
        <v>139</v>
      </c>
      <c r="H134" s="17">
        <f t="shared" si="0"/>
        <v>120.8785</v>
      </c>
      <c r="I134" s="18">
        <f t="shared" si="1"/>
        <v>-0.13037050359712229</v>
      </c>
      <c r="J134" s="18">
        <f t="shared" si="2"/>
        <v>0.13037050359712229</v>
      </c>
      <c r="K134" s="11"/>
    </row>
    <row r="135" spans="1:11">
      <c r="A135" s="4">
        <v>16</v>
      </c>
      <c r="B135" s="4" t="s">
        <v>11</v>
      </c>
      <c r="C135" s="6" t="s">
        <v>8</v>
      </c>
      <c r="D135" s="4" t="s">
        <v>12</v>
      </c>
      <c r="E135" s="4" t="s">
        <v>10</v>
      </c>
      <c r="F135" s="6">
        <v>75</v>
      </c>
      <c r="G135" s="6">
        <v>110</v>
      </c>
      <c r="H135" s="17">
        <f t="shared" si="0"/>
        <v>133.88749999999999</v>
      </c>
      <c r="I135" s="18">
        <f t="shared" ref="I135:I147" si="3">(H135-G135)/G135</f>
        <v>0.2171590909090908</v>
      </c>
      <c r="J135" s="18">
        <f t="shared" ref="J135:J147" si="4">ABS(I135)</f>
        <v>0.2171590909090908</v>
      </c>
      <c r="K135" s="11"/>
    </row>
    <row r="136" spans="1:11">
      <c r="A136" s="4">
        <v>18</v>
      </c>
      <c r="B136" s="4" t="s">
        <v>11</v>
      </c>
      <c r="C136" s="6" t="s">
        <v>8</v>
      </c>
      <c r="D136" s="6" t="s">
        <v>9</v>
      </c>
      <c r="E136" s="4" t="s">
        <v>10</v>
      </c>
      <c r="F136" s="6">
        <v>79</v>
      </c>
      <c r="G136" s="6">
        <v>142</v>
      </c>
      <c r="H136" s="17">
        <f t="shared" si="0"/>
        <v>139.09109999999998</v>
      </c>
      <c r="I136" s="18">
        <f t="shared" si="3"/>
        <v>-2.0485211267605753E-2</v>
      </c>
      <c r="J136" s="18">
        <f t="shared" si="4"/>
        <v>2.0485211267605753E-2</v>
      </c>
      <c r="K136" s="11"/>
    </row>
    <row r="137" spans="1:11">
      <c r="A137" s="4">
        <v>22</v>
      </c>
      <c r="B137" s="4" t="s">
        <v>11</v>
      </c>
      <c r="C137" s="6" t="s">
        <v>8</v>
      </c>
      <c r="D137" s="6" t="s">
        <v>9</v>
      </c>
      <c r="E137" s="4" t="s">
        <v>10</v>
      </c>
      <c r="F137" s="6">
        <v>81</v>
      </c>
      <c r="G137" s="6">
        <v>190</v>
      </c>
      <c r="H137" s="17">
        <f t="shared" si="0"/>
        <v>141.69290000000001</v>
      </c>
      <c r="I137" s="18">
        <f t="shared" si="3"/>
        <v>-0.25424789473684206</v>
      </c>
      <c r="J137" s="18">
        <f t="shared" si="4"/>
        <v>0.25424789473684206</v>
      </c>
      <c r="K137" s="11"/>
    </row>
    <row r="138" spans="1:11">
      <c r="A138" s="4">
        <v>28</v>
      </c>
      <c r="B138" s="4" t="s">
        <v>11</v>
      </c>
      <c r="C138" s="6" t="s">
        <v>8</v>
      </c>
      <c r="D138" s="6" t="s">
        <v>9</v>
      </c>
      <c r="E138" s="4" t="s">
        <v>10</v>
      </c>
      <c r="F138" s="6">
        <v>87</v>
      </c>
      <c r="G138" s="6">
        <v>170</v>
      </c>
      <c r="H138" s="17">
        <f t="shared" si="0"/>
        <v>149.4983</v>
      </c>
      <c r="I138" s="18">
        <f t="shared" si="3"/>
        <v>-0.12059823529411764</v>
      </c>
      <c r="J138" s="18">
        <f t="shared" si="4"/>
        <v>0.12059823529411764</v>
      </c>
      <c r="K138" s="11"/>
    </row>
    <row r="139" spans="1:11">
      <c r="A139" s="4">
        <v>29</v>
      </c>
      <c r="B139" s="4" t="s">
        <v>11</v>
      </c>
      <c r="C139" s="6" t="s">
        <v>8</v>
      </c>
      <c r="D139" s="6" t="s">
        <v>9</v>
      </c>
      <c r="E139" s="4" t="s">
        <v>10</v>
      </c>
      <c r="F139" s="6">
        <v>90</v>
      </c>
      <c r="G139" s="6">
        <v>189</v>
      </c>
      <c r="H139" s="17">
        <f t="shared" si="0"/>
        <v>153.40099999999998</v>
      </c>
      <c r="I139" s="18">
        <f t="shared" si="3"/>
        <v>-0.18835449735449744</v>
      </c>
      <c r="J139" s="18">
        <f t="shared" si="4"/>
        <v>0.18835449735449744</v>
      </c>
      <c r="K139" s="11"/>
    </row>
    <row r="140" spans="1:11">
      <c r="A140" s="4">
        <v>31</v>
      </c>
      <c r="B140" s="4" t="s">
        <v>11</v>
      </c>
      <c r="C140" s="4" t="s">
        <v>17</v>
      </c>
      <c r="D140" s="4" t="s">
        <v>12</v>
      </c>
      <c r="E140" s="4" t="s">
        <v>10</v>
      </c>
      <c r="F140" s="6">
        <v>92</v>
      </c>
      <c r="G140" s="6">
        <v>195</v>
      </c>
      <c r="H140" s="17">
        <f t="shared" si="0"/>
        <v>156.00280000000001</v>
      </c>
      <c r="I140" s="18">
        <f t="shared" si="3"/>
        <v>-0.19998564102564098</v>
      </c>
      <c r="J140" s="18">
        <f t="shared" si="4"/>
        <v>0.19998564102564098</v>
      </c>
      <c r="K140" s="11"/>
    </row>
    <row r="141" spans="1:11">
      <c r="A141" s="4">
        <v>34</v>
      </c>
      <c r="B141" s="4" t="s">
        <v>11</v>
      </c>
      <c r="C141" s="6" t="s">
        <v>8</v>
      </c>
      <c r="D141" s="6" t="s">
        <v>9</v>
      </c>
      <c r="E141" s="4" t="s">
        <v>10</v>
      </c>
      <c r="F141" s="6">
        <v>102</v>
      </c>
      <c r="G141" s="6">
        <v>200</v>
      </c>
      <c r="H141" s="17">
        <f t="shared" si="0"/>
        <v>169.01179999999999</v>
      </c>
      <c r="I141" s="18">
        <f t="shared" si="3"/>
        <v>-0.15494100000000002</v>
      </c>
      <c r="J141" s="18">
        <f t="shared" si="4"/>
        <v>0.15494100000000002</v>
      </c>
      <c r="K141" s="11"/>
    </row>
    <row r="142" spans="1:11">
      <c r="A142" s="4">
        <v>50</v>
      </c>
      <c r="B142" s="4" t="s">
        <v>11</v>
      </c>
      <c r="C142" s="6" t="s">
        <v>8</v>
      </c>
      <c r="D142" s="4" t="s">
        <v>12</v>
      </c>
      <c r="E142" s="4" t="s">
        <v>10</v>
      </c>
      <c r="F142" s="6">
        <v>127</v>
      </c>
      <c r="G142" s="6">
        <v>215</v>
      </c>
      <c r="H142" s="17">
        <f t="shared" si="0"/>
        <v>201.53429999999997</v>
      </c>
      <c r="I142" s="18">
        <f t="shared" si="3"/>
        <v>-6.2631162790697803E-2</v>
      </c>
      <c r="J142" s="18">
        <f t="shared" si="4"/>
        <v>6.2631162790697803E-2</v>
      </c>
      <c r="K142" s="11"/>
    </row>
    <row r="143" spans="1:11">
      <c r="A143" s="4">
        <v>53</v>
      </c>
      <c r="B143" s="4" t="s">
        <v>11</v>
      </c>
      <c r="C143" s="6" t="s">
        <v>8</v>
      </c>
      <c r="D143" s="6" t="s">
        <v>9</v>
      </c>
      <c r="E143" s="4" t="s">
        <v>10</v>
      </c>
      <c r="F143" s="6">
        <v>136</v>
      </c>
      <c r="G143" s="6">
        <v>220</v>
      </c>
      <c r="H143" s="17">
        <f t="shared" si="0"/>
        <v>213.24239999999998</v>
      </c>
      <c r="I143" s="18">
        <f t="shared" si="3"/>
        <v>-3.071636363636375E-2</v>
      </c>
      <c r="J143" s="18">
        <f t="shared" si="4"/>
        <v>3.071636363636375E-2</v>
      </c>
      <c r="K143" s="11"/>
    </row>
    <row r="144" spans="1:11">
      <c r="A144" s="4">
        <v>56</v>
      </c>
      <c r="B144" s="4" t="s">
        <v>11</v>
      </c>
      <c r="C144" s="6" t="s">
        <v>8</v>
      </c>
      <c r="D144" s="6" t="s">
        <v>9</v>
      </c>
      <c r="E144" s="4" t="s">
        <v>10</v>
      </c>
      <c r="F144" s="6">
        <v>148</v>
      </c>
      <c r="G144" s="6">
        <v>186</v>
      </c>
      <c r="H144" s="17">
        <f t="shared" si="0"/>
        <v>228.85319999999999</v>
      </c>
      <c r="I144" s="18">
        <f t="shared" si="3"/>
        <v>0.23039354838709669</v>
      </c>
      <c r="J144" s="18">
        <f t="shared" si="4"/>
        <v>0.23039354838709669</v>
      </c>
      <c r="K144" s="11"/>
    </row>
    <row r="145" spans="1:11">
      <c r="A145" s="4">
        <v>57</v>
      </c>
      <c r="B145" s="4" t="s">
        <v>11</v>
      </c>
      <c r="C145" s="6" t="s">
        <v>8</v>
      </c>
      <c r="D145" s="6" t="s">
        <v>9</v>
      </c>
      <c r="E145" s="4" t="s">
        <v>10</v>
      </c>
      <c r="F145" s="6">
        <v>152</v>
      </c>
      <c r="G145" s="6">
        <v>237</v>
      </c>
      <c r="H145" s="17">
        <f t="shared" si="0"/>
        <v>234.05679999999998</v>
      </c>
      <c r="I145" s="18">
        <f t="shared" si="3"/>
        <v>-1.241856540084396E-2</v>
      </c>
      <c r="J145" s="18">
        <f t="shared" si="4"/>
        <v>1.241856540084396E-2</v>
      </c>
      <c r="K145" s="11"/>
    </row>
    <row r="146" spans="1:11">
      <c r="A146" s="4">
        <v>62</v>
      </c>
      <c r="B146" s="4" t="s">
        <v>11</v>
      </c>
      <c r="C146" s="6" t="s">
        <v>8</v>
      </c>
      <c r="D146" s="6" t="s">
        <v>9</v>
      </c>
      <c r="E146" s="4" t="s">
        <v>10</v>
      </c>
      <c r="F146" s="6">
        <v>160</v>
      </c>
      <c r="G146" s="6">
        <v>242</v>
      </c>
      <c r="H146" s="17">
        <f t="shared" si="0"/>
        <v>244.464</v>
      </c>
      <c r="I146" s="18">
        <f t="shared" si="3"/>
        <v>1.0181818181818176E-2</v>
      </c>
      <c r="J146" s="18">
        <f t="shared" si="4"/>
        <v>1.0181818181818176E-2</v>
      </c>
      <c r="K146" s="11"/>
    </row>
    <row r="147" spans="1:11">
      <c r="A147" s="4">
        <v>65</v>
      </c>
      <c r="B147" s="4" t="s">
        <v>11</v>
      </c>
      <c r="C147" s="6" t="s">
        <v>8</v>
      </c>
      <c r="D147" s="6" t="s">
        <v>9</v>
      </c>
      <c r="E147" s="4" t="s">
        <v>10</v>
      </c>
      <c r="F147" s="6">
        <v>169</v>
      </c>
      <c r="G147" s="6">
        <v>215</v>
      </c>
      <c r="H147" s="17">
        <f t="shared" si="0"/>
        <v>256.1721</v>
      </c>
      <c r="I147" s="18">
        <f t="shared" si="3"/>
        <v>0.19149813953488373</v>
      </c>
      <c r="J147" s="18">
        <f t="shared" si="4"/>
        <v>0.19149813953488373</v>
      </c>
      <c r="K147" s="11"/>
    </row>
    <row r="150" spans="1:11" s="38" customFormat="1"/>
    <row r="151" spans="1:11" s="38" customFormat="1"/>
    <row r="152" spans="1:11" s="38" customFormat="1"/>
    <row r="153" spans="1:11" s="38" customFormat="1"/>
    <row r="154" spans="1:11" s="38" customFormat="1"/>
    <row r="155" spans="1:11" s="38" customFormat="1"/>
    <row r="156" spans="1:11" s="38" customFormat="1"/>
    <row r="157" spans="1:11" s="38" customFormat="1"/>
    <row r="158" spans="1:11" s="38" customFormat="1"/>
    <row r="159" spans="1:11" s="38" customFormat="1"/>
    <row r="160" spans="1:11" s="38" customFormat="1">
      <c r="B160" s="39"/>
    </row>
    <row r="161" spans="2:5" s="38" customFormat="1"/>
    <row r="162" spans="2:5" s="38" customFormat="1"/>
    <row r="163" spans="2:5" s="38" customFormat="1"/>
    <row r="164" spans="2:5" s="38" customFormat="1"/>
    <row r="165" spans="2:5" s="38" customFormat="1">
      <c r="B165" s="39"/>
      <c r="E165" s="40"/>
    </row>
    <row r="166" spans="2:5" s="38" customFormat="1"/>
    <row r="167" spans="2:5" s="38" customFormat="1"/>
    <row r="168" spans="2:5" s="38" customFormat="1"/>
    <row r="169" spans="2:5" s="38" customFormat="1"/>
    <row r="170" spans="2:5" s="38" customFormat="1">
      <c r="B170" s="39"/>
    </row>
    <row r="171" spans="2:5" s="38" customFormat="1"/>
    <row r="172" spans="2:5" s="38" customFormat="1"/>
    <row r="173" spans="2:5" s="38" customFormat="1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D549-59D3-0A4D-A462-1BF22F5BA246}">
  <dimension ref="A2:L993"/>
  <sheetViews>
    <sheetView topLeftCell="A946" workbookViewId="0">
      <selection activeCell="A970" sqref="A970:XFD993"/>
    </sheetView>
  </sheetViews>
  <sheetFormatPr baseColWidth="10" defaultColWidth="10.6640625" defaultRowHeight="16"/>
  <sheetData>
    <row r="2" spans="1:12">
      <c r="A2" t="s">
        <v>58</v>
      </c>
      <c r="L2" t="s">
        <v>57</v>
      </c>
    </row>
    <row r="22" spans="1:7" ht="32">
      <c r="A22" s="1" t="s">
        <v>0</v>
      </c>
      <c r="B22" s="23" t="s">
        <v>1</v>
      </c>
      <c r="C22" s="24" t="s">
        <v>2</v>
      </c>
      <c r="D22" s="24" t="s">
        <v>3</v>
      </c>
      <c r="E22" s="25" t="s">
        <v>4</v>
      </c>
      <c r="F22" s="26" t="s">
        <v>5</v>
      </c>
      <c r="G22" s="26" t="s">
        <v>6</v>
      </c>
    </row>
    <row r="23" spans="1:7">
      <c r="A23" s="27">
        <v>1</v>
      </c>
      <c r="B23" s="28" t="s">
        <v>7</v>
      </c>
      <c r="C23" s="29" t="s">
        <v>8</v>
      </c>
      <c r="D23" s="29" t="s">
        <v>9</v>
      </c>
      <c r="E23" s="28" t="s">
        <v>10</v>
      </c>
      <c r="F23" s="29">
        <v>25</v>
      </c>
      <c r="G23" s="29">
        <v>118</v>
      </c>
    </row>
    <row r="24" spans="1:7">
      <c r="A24" s="27">
        <v>5</v>
      </c>
      <c r="B24" s="28" t="s">
        <v>7</v>
      </c>
      <c r="C24" s="28" t="s">
        <v>15</v>
      </c>
      <c r="D24" s="29" t="s">
        <v>9</v>
      </c>
      <c r="E24" s="28" t="s">
        <v>16</v>
      </c>
      <c r="F24" s="29">
        <v>46</v>
      </c>
      <c r="G24" s="29">
        <v>1009</v>
      </c>
    </row>
    <row r="25" spans="1:7">
      <c r="A25" s="27">
        <v>6</v>
      </c>
      <c r="B25" s="28" t="s">
        <v>11</v>
      </c>
      <c r="C25" s="29" t="s">
        <v>8</v>
      </c>
      <c r="D25" s="29" t="s">
        <v>9</v>
      </c>
      <c r="E25" s="28" t="s">
        <v>10</v>
      </c>
      <c r="F25" s="29">
        <v>51</v>
      </c>
      <c r="G25" s="29">
        <v>52</v>
      </c>
    </row>
    <row r="26" spans="1:7">
      <c r="A26" s="27">
        <v>11</v>
      </c>
      <c r="B26" s="28" t="s">
        <v>7</v>
      </c>
      <c r="C26" s="28" t="s">
        <v>15</v>
      </c>
      <c r="D26" s="29" t="s">
        <v>9</v>
      </c>
      <c r="E26" s="28" t="s">
        <v>16</v>
      </c>
      <c r="F26" s="29">
        <v>68</v>
      </c>
      <c r="G26" s="29">
        <v>12702</v>
      </c>
    </row>
    <row r="27" spans="1:7">
      <c r="A27" s="27">
        <v>18</v>
      </c>
      <c r="B27" s="28" t="s">
        <v>11</v>
      </c>
      <c r="C27" s="29" t="s">
        <v>8</v>
      </c>
      <c r="D27" s="29" t="s">
        <v>9</v>
      </c>
      <c r="E27" s="28" t="s">
        <v>10</v>
      </c>
      <c r="F27" s="29">
        <v>79</v>
      </c>
      <c r="G27" s="29">
        <v>142</v>
      </c>
    </row>
    <row r="28" spans="1:7">
      <c r="A28" s="27">
        <v>20</v>
      </c>
      <c r="B28" s="28" t="s">
        <v>11</v>
      </c>
      <c r="C28" s="28" t="s">
        <v>15</v>
      </c>
      <c r="D28" s="29" t="s">
        <v>9</v>
      </c>
      <c r="E28" s="28" t="s">
        <v>10</v>
      </c>
      <c r="F28" s="28">
        <v>80</v>
      </c>
      <c r="G28" s="28">
        <v>260</v>
      </c>
    </row>
    <row r="29" spans="1:7">
      <c r="A29" s="27">
        <v>21</v>
      </c>
      <c r="B29" s="28" t="s">
        <v>7</v>
      </c>
      <c r="C29" s="28" t="s">
        <v>15</v>
      </c>
      <c r="D29" s="29" t="s">
        <v>9</v>
      </c>
      <c r="E29" s="28" t="s">
        <v>16</v>
      </c>
      <c r="F29" s="29">
        <v>80</v>
      </c>
      <c r="G29" s="29">
        <v>2879</v>
      </c>
    </row>
    <row r="30" spans="1:7">
      <c r="A30" s="27">
        <v>22</v>
      </c>
      <c r="B30" s="28" t="s">
        <v>11</v>
      </c>
      <c r="C30" s="29" t="s">
        <v>8</v>
      </c>
      <c r="D30" s="29" t="s">
        <v>9</v>
      </c>
      <c r="E30" s="28" t="s">
        <v>10</v>
      </c>
      <c r="F30" s="29">
        <v>81</v>
      </c>
      <c r="G30" s="29">
        <v>190</v>
      </c>
    </row>
    <row r="31" spans="1:7">
      <c r="A31" s="27">
        <v>25</v>
      </c>
      <c r="B31" s="28" t="s">
        <v>7</v>
      </c>
      <c r="C31" s="28" t="s">
        <v>15</v>
      </c>
      <c r="D31" s="29" t="s">
        <v>9</v>
      </c>
      <c r="E31" s="28" t="s">
        <v>16</v>
      </c>
      <c r="F31" s="29">
        <v>83</v>
      </c>
      <c r="G31" s="29">
        <v>855</v>
      </c>
    </row>
    <row r="32" spans="1:7">
      <c r="A32" s="27">
        <v>28</v>
      </c>
      <c r="B32" s="28" t="s">
        <v>11</v>
      </c>
      <c r="C32" s="29" t="s">
        <v>8</v>
      </c>
      <c r="D32" s="29" t="s">
        <v>9</v>
      </c>
      <c r="E32" s="28" t="s">
        <v>10</v>
      </c>
      <c r="F32" s="29">
        <v>87</v>
      </c>
      <c r="G32" s="29">
        <v>170</v>
      </c>
    </row>
    <row r="33" spans="1:7">
      <c r="A33" s="27">
        <v>29</v>
      </c>
      <c r="B33" s="28" t="s">
        <v>11</v>
      </c>
      <c r="C33" s="29" t="s">
        <v>8</v>
      </c>
      <c r="D33" s="29" t="s">
        <v>9</v>
      </c>
      <c r="E33" s="28" t="s">
        <v>10</v>
      </c>
      <c r="F33" s="29">
        <v>90</v>
      </c>
      <c r="G33" s="29">
        <v>189</v>
      </c>
    </row>
    <row r="34" spans="1:7">
      <c r="A34" s="27">
        <v>34</v>
      </c>
      <c r="B34" s="28" t="s">
        <v>11</v>
      </c>
      <c r="C34" s="29" t="s">
        <v>8</v>
      </c>
      <c r="D34" s="29" t="s">
        <v>9</v>
      </c>
      <c r="E34" s="28" t="s">
        <v>10</v>
      </c>
      <c r="F34" s="29">
        <v>102</v>
      </c>
      <c r="G34" s="29">
        <v>200</v>
      </c>
    </row>
    <row r="35" spans="1:7">
      <c r="A35" s="27">
        <v>41</v>
      </c>
      <c r="B35" s="28" t="s">
        <v>7</v>
      </c>
      <c r="C35" s="28" t="s">
        <v>15</v>
      </c>
      <c r="D35" s="29" t="s">
        <v>9</v>
      </c>
      <c r="E35" s="28" t="s">
        <v>16</v>
      </c>
      <c r="F35" s="29">
        <v>114</v>
      </c>
      <c r="G35" s="29">
        <v>7290</v>
      </c>
    </row>
    <row r="36" spans="1:7">
      <c r="A36" s="27">
        <v>42</v>
      </c>
      <c r="B36" s="28" t="s">
        <v>11</v>
      </c>
      <c r="C36" s="29" t="s">
        <v>8</v>
      </c>
      <c r="D36" s="29" t="s">
        <v>9</v>
      </c>
      <c r="E36" s="28" t="s">
        <v>16</v>
      </c>
      <c r="F36" s="29">
        <v>115</v>
      </c>
      <c r="G36" s="29">
        <v>285</v>
      </c>
    </row>
    <row r="37" spans="1:7">
      <c r="A37" s="27">
        <v>44</v>
      </c>
      <c r="B37" s="28" t="s">
        <v>7</v>
      </c>
      <c r="C37" s="28" t="s">
        <v>15</v>
      </c>
      <c r="D37" s="29" t="s">
        <v>9</v>
      </c>
      <c r="E37" s="28" t="s">
        <v>16</v>
      </c>
      <c r="F37" s="28">
        <v>115</v>
      </c>
      <c r="G37" s="30">
        <v>2712</v>
      </c>
    </row>
    <row r="38" spans="1:7">
      <c r="A38" s="27">
        <v>53</v>
      </c>
      <c r="B38" s="28" t="s">
        <v>11</v>
      </c>
      <c r="C38" s="29" t="s">
        <v>8</v>
      </c>
      <c r="D38" s="29" t="s">
        <v>9</v>
      </c>
      <c r="E38" s="28" t="s">
        <v>10</v>
      </c>
      <c r="F38" s="29">
        <v>136</v>
      </c>
      <c r="G38" s="29">
        <v>220</v>
      </c>
    </row>
    <row r="39" spans="1:7">
      <c r="A39" s="27">
        <v>56</v>
      </c>
      <c r="B39" s="28" t="s">
        <v>11</v>
      </c>
      <c r="C39" s="29" t="s">
        <v>8</v>
      </c>
      <c r="D39" s="29" t="s">
        <v>9</v>
      </c>
      <c r="E39" s="28" t="s">
        <v>10</v>
      </c>
      <c r="F39" s="29">
        <v>148</v>
      </c>
      <c r="G39" s="29">
        <v>186</v>
      </c>
    </row>
    <row r="40" spans="1:7">
      <c r="A40" s="27">
        <v>57</v>
      </c>
      <c r="B40" s="28" t="s">
        <v>11</v>
      </c>
      <c r="C40" s="29" t="s">
        <v>8</v>
      </c>
      <c r="D40" s="29" t="s">
        <v>9</v>
      </c>
      <c r="E40" s="28" t="s">
        <v>10</v>
      </c>
      <c r="F40" s="29">
        <v>152</v>
      </c>
      <c r="G40" s="29">
        <v>237</v>
      </c>
    </row>
    <row r="41" spans="1:7">
      <c r="A41" s="27">
        <v>58</v>
      </c>
      <c r="B41" s="28" t="s">
        <v>7</v>
      </c>
      <c r="C41" s="28" t="s">
        <v>15</v>
      </c>
      <c r="D41" s="29" t="s">
        <v>9</v>
      </c>
      <c r="E41" s="28" t="s">
        <v>16</v>
      </c>
      <c r="F41" s="29">
        <v>152</v>
      </c>
      <c r="G41" s="29">
        <v>2389</v>
      </c>
    </row>
    <row r="42" spans="1:7">
      <c r="A42" s="27">
        <v>61</v>
      </c>
      <c r="B42" s="28" t="s">
        <v>7</v>
      </c>
      <c r="C42" s="28" t="s">
        <v>15</v>
      </c>
      <c r="D42" s="29" t="s">
        <v>9</v>
      </c>
      <c r="E42" s="28" t="s">
        <v>16</v>
      </c>
      <c r="F42" s="28">
        <v>159</v>
      </c>
      <c r="G42" s="30">
        <v>3689</v>
      </c>
    </row>
    <row r="43" spans="1:7">
      <c r="A43" s="27">
        <v>62</v>
      </c>
      <c r="B43" s="28" t="s">
        <v>11</v>
      </c>
      <c r="C43" s="29" t="s">
        <v>8</v>
      </c>
      <c r="D43" s="29" t="s">
        <v>9</v>
      </c>
      <c r="E43" s="28" t="s">
        <v>10</v>
      </c>
      <c r="F43" s="29">
        <v>160</v>
      </c>
      <c r="G43" s="29">
        <v>242</v>
      </c>
    </row>
    <row r="44" spans="1:7">
      <c r="A44" s="27">
        <v>65</v>
      </c>
      <c r="B44" s="28" t="s">
        <v>11</v>
      </c>
      <c r="C44" s="29" t="s">
        <v>8</v>
      </c>
      <c r="D44" s="29" t="s">
        <v>9</v>
      </c>
      <c r="E44" s="28" t="s">
        <v>10</v>
      </c>
      <c r="F44" s="29">
        <v>169</v>
      </c>
      <c r="G44" s="29">
        <v>215</v>
      </c>
    </row>
    <row r="45" spans="1:7">
      <c r="A45" s="27">
        <v>66</v>
      </c>
      <c r="B45" s="28" t="s">
        <v>7</v>
      </c>
      <c r="C45" s="28" t="s">
        <v>15</v>
      </c>
      <c r="D45" s="29" t="s">
        <v>9</v>
      </c>
      <c r="E45" s="28" t="s">
        <v>16</v>
      </c>
      <c r="F45" s="29">
        <v>174</v>
      </c>
      <c r="G45" s="29">
        <v>1876</v>
      </c>
    </row>
    <row r="46" spans="1:7">
      <c r="A46" s="27">
        <v>67</v>
      </c>
      <c r="B46" s="28" t="s">
        <v>11</v>
      </c>
      <c r="C46" s="29" t="s">
        <v>8</v>
      </c>
      <c r="D46" s="29" t="s">
        <v>9</v>
      </c>
      <c r="E46" s="28" t="s">
        <v>16</v>
      </c>
      <c r="F46" s="29">
        <v>178</v>
      </c>
      <c r="G46" s="29">
        <v>290</v>
      </c>
    </row>
    <row r="47" spans="1:7">
      <c r="A47" s="27">
        <v>68</v>
      </c>
      <c r="B47" s="28" t="s">
        <v>7</v>
      </c>
      <c r="C47" s="28" t="s">
        <v>15</v>
      </c>
      <c r="D47" s="29" t="s">
        <v>9</v>
      </c>
      <c r="E47" s="28" t="s">
        <v>16</v>
      </c>
      <c r="F47" s="29">
        <v>179</v>
      </c>
      <c r="G47" s="29">
        <v>789</v>
      </c>
    </row>
    <row r="48" spans="1:7">
      <c r="A48" s="27">
        <v>69</v>
      </c>
      <c r="B48" s="28" t="s">
        <v>7</v>
      </c>
      <c r="C48" s="28" t="s">
        <v>15</v>
      </c>
      <c r="D48" s="29" t="s">
        <v>9</v>
      </c>
      <c r="E48" s="28" t="s">
        <v>16</v>
      </c>
      <c r="F48" s="29">
        <v>180</v>
      </c>
      <c r="G48" s="29">
        <v>3063</v>
      </c>
    </row>
    <row r="49" spans="1:7">
      <c r="A49" s="27">
        <v>70</v>
      </c>
      <c r="B49" s="28" t="s">
        <v>7</v>
      </c>
      <c r="C49" s="28" t="s">
        <v>15</v>
      </c>
      <c r="D49" s="29" t="s">
        <v>9</v>
      </c>
      <c r="E49" s="28" t="s">
        <v>16</v>
      </c>
      <c r="F49" s="29">
        <v>182</v>
      </c>
      <c r="G49" s="29">
        <v>2629.2</v>
      </c>
    </row>
    <row r="50" spans="1:7">
      <c r="A50" s="27">
        <v>76</v>
      </c>
      <c r="B50" s="28" t="s">
        <v>7</v>
      </c>
      <c r="C50" s="28" t="s">
        <v>15</v>
      </c>
      <c r="D50" s="29" t="s">
        <v>9</v>
      </c>
      <c r="E50" s="28" t="s">
        <v>16</v>
      </c>
      <c r="F50" s="28">
        <v>237</v>
      </c>
      <c r="G50" s="30">
        <v>3065</v>
      </c>
    </row>
    <row r="51" spans="1:7">
      <c r="A51" s="27">
        <v>77</v>
      </c>
      <c r="B51" s="28" t="s">
        <v>7</v>
      </c>
      <c r="C51" s="29" t="s">
        <v>8</v>
      </c>
      <c r="D51" s="29" t="s">
        <v>9</v>
      </c>
      <c r="E51" s="28" t="s">
        <v>16</v>
      </c>
      <c r="F51" s="29">
        <v>250</v>
      </c>
      <c r="G51" s="29">
        <v>400</v>
      </c>
    </row>
    <row r="52" spans="1:7">
      <c r="A52" s="27">
        <v>78</v>
      </c>
      <c r="B52" s="28" t="s">
        <v>7</v>
      </c>
      <c r="C52" s="28" t="s">
        <v>15</v>
      </c>
      <c r="D52" s="29" t="s">
        <v>9</v>
      </c>
      <c r="E52" s="28" t="s">
        <v>16</v>
      </c>
      <c r="F52" s="28">
        <v>297</v>
      </c>
      <c r="G52" s="30">
        <v>2684</v>
      </c>
    </row>
    <row r="53" spans="1:7">
      <c r="A53" s="27">
        <v>79</v>
      </c>
      <c r="B53" s="28" t="s">
        <v>7</v>
      </c>
      <c r="C53" s="28" t="s">
        <v>15</v>
      </c>
      <c r="D53" s="29" t="s">
        <v>9</v>
      </c>
      <c r="E53" s="28" t="s">
        <v>16</v>
      </c>
      <c r="F53" s="29">
        <v>297</v>
      </c>
      <c r="G53" s="29">
        <v>7449</v>
      </c>
    </row>
    <row r="54" spans="1:7">
      <c r="A54" s="27">
        <v>81</v>
      </c>
      <c r="B54" s="28" t="s">
        <v>7</v>
      </c>
      <c r="C54" s="28" t="s">
        <v>15</v>
      </c>
      <c r="D54" s="29" t="s">
        <v>9</v>
      </c>
      <c r="E54" s="28" t="s">
        <v>16</v>
      </c>
      <c r="F54" s="29">
        <v>382</v>
      </c>
      <c r="G54" s="29">
        <v>22000</v>
      </c>
    </row>
    <row r="55" spans="1:7">
      <c r="A55" s="27">
        <v>82</v>
      </c>
      <c r="B55" s="28" t="s">
        <v>7</v>
      </c>
      <c r="C55" s="28" t="s">
        <v>17</v>
      </c>
      <c r="D55" s="29" t="s">
        <v>9</v>
      </c>
      <c r="E55" s="28" t="s">
        <v>16</v>
      </c>
      <c r="F55" s="29">
        <v>443</v>
      </c>
      <c r="G55" s="29">
        <v>796</v>
      </c>
    </row>
    <row r="56" spans="1:7">
      <c r="A56" s="27">
        <v>83</v>
      </c>
      <c r="B56" s="28" t="s">
        <v>7</v>
      </c>
      <c r="C56" s="28" t="s">
        <v>15</v>
      </c>
      <c r="D56" s="29" t="s">
        <v>9</v>
      </c>
      <c r="E56" s="28" t="s">
        <v>16</v>
      </c>
      <c r="F56" s="29">
        <v>460</v>
      </c>
      <c r="G56" s="29">
        <v>1667</v>
      </c>
    </row>
    <row r="57" spans="1:7">
      <c r="A57" s="27">
        <v>84</v>
      </c>
      <c r="B57" s="28" t="s">
        <v>7</v>
      </c>
      <c r="C57" s="29" t="s">
        <v>8</v>
      </c>
      <c r="D57" s="29" t="s">
        <v>9</v>
      </c>
      <c r="E57" s="28" t="s">
        <v>16</v>
      </c>
      <c r="F57" s="29">
        <v>500</v>
      </c>
      <c r="G57" s="29">
        <v>700</v>
      </c>
    </row>
    <row r="58" spans="1:7">
      <c r="A58" s="27">
        <v>85</v>
      </c>
      <c r="B58" s="28" t="s">
        <v>7</v>
      </c>
      <c r="C58" s="28" t="s">
        <v>15</v>
      </c>
      <c r="D58" s="29" t="s">
        <v>9</v>
      </c>
      <c r="E58" s="28" t="s">
        <v>16</v>
      </c>
      <c r="F58" s="28">
        <v>500</v>
      </c>
      <c r="G58" s="30">
        <v>2510</v>
      </c>
    </row>
    <row r="59" spans="1:7">
      <c r="A59" s="27">
        <v>86</v>
      </c>
      <c r="B59" s="28" t="s">
        <v>7</v>
      </c>
      <c r="C59" s="28" t="s">
        <v>15</v>
      </c>
      <c r="D59" s="29" t="s">
        <v>9</v>
      </c>
      <c r="E59" s="28" t="s">
        <v>16</v>
      </c>
      <c r="F59" s="29">
        <v>568</v>
      </c>
      <c r="G59" s="29">
        <v>5873</v>
      </c>
    </row>
    <row r="60" spans="1:7">
      <c r="A60" s="27">
        <v>87</v>
      </c>
      <c r="B60" s="28" t="s">
        <v>7</v>
      </c>
      <c r="C60" s="28" t="s">
        <v>15</v>
      </c>
      <c r="D60" s="29" t="s">
        <v>9</v>
      </c>
      <c r="E60" s="28" t="s">
        <v>16</v>
      </c>
      <c r="F60" s="29">
        <v>620</v>
      </c>
      <c r="G60" s="29">
        <v>18160</v>
      </c>
    </row>
    <row r="61" spans="1:7">
      <c r="A61" s="27">
        <v>88</v>
      </c>
      <c r="B61" s="28" t="s">
        <v>7</v>
      </c>
      <c r="C61" s="28" t="s">
        <v>15</v>
      </c>
      <c r="D61" s="29" t="s">
        <v>9</v>
      </c>
      <c r="E61" s="28" t="s">
        <v>16</v>
      </c>
      <c r="F61" s="29">
        <v>730</v>
      </c>
      <c r="G61" s="29">
        <v>20975</v>
      </c>
    </row>
    <row r="62" spans="1:7">
      <c r="A62" s="27">
        <v>89</v>
      </c>
      <c r="B62" s="28" t="s">
        <v>7</v>
      </c>
      <c r="C62" s="28" t="s">
        <v>15</v>
      </c>
      <c r="D62" s="29" t="s">
        <v>9</v>
      </c>
      <c r="E62" s="28" t="s">
        <v>16</v>
      </c>
      <c r="F62" s="29">
        <v>779</v>
      </c>
      <c r="G62" s="29">
        <v>25040</v>
      </c>
    </row>
    <row r="64" spans="1:7">
      <c r="A64" t="s">
        <v>18</v>
      </c>
    </row>
    <row r="65" spans="1:7" ht="20">
      <c r="A65" s="13" t="s">
        <v>19</v>
      </c>
    </row>
    <row r="66" spans="1:7" ht="17">
      <c r="A66" s="14" t="s">
        <v>20</v>
      </c>
      <c r="B66" s="14" t="s">
        <v>21</v>
      </c>
      <c r="C66" s="14" t="s">
        <v>22</v>
      </c>
      <c r="D66" s="14" t="s">
        <v>23</v>
      </c>
      <c r="E66" s="14" t="s">
        <v>24</v>
      </c>
      <c r="F66" s="14" t="s">
        <v>25</v>
      </c>
      <c r="G66" s="14" t="s">
        <v>26</v>
      </c>
    </row>
    <row r="67" spans="1:7" ht="17">
      <c r="A67" s="14" t="s">
        <v>5</v>
      </c>
      <c r="B67" s="14">
        <v>40</v>
      </c>
      <c r="C67" s="14">
        <v>231.2</v>
      </c>
      <c r="D67" s="14">
        <v>195.53</v>
      </c>
      <c r="E67" s="14">
        <v>25</v>
      </c>
      <c r="F67" s="14">
        <v>159.5</v>
      </c>
      <c r="G67" s="14">
        <v>779</v>
      </c>
    </row>
    <row r="69" spans="1:7" ht="20">
      <c r="A69" s="13" t="s">
        <v>19</v>
      </c>
    </row>
    <row r="70" spans="1:7" ht="17">
      <c r="A70" s="14" t="s">
        <v>20</v>
      </c>
      <c r="B70" s="14" t="s">
        <v>21</v>
      </c>
      <c r="C70" s="14" t="s">
        <v>22</v>
      </c>
      <c r="D70" s="14" t="s">
        <v>23</v>
      </c>
      <c r="E70" s="14" t="s">
        <v>24</v>
      </c>
      <c r="F70" s="14" t="s">
        <v>25</v>
      </c>
      <c r="G70" s="14" t="s">
        <v>26</v>
      </c>
    </row>
    <row r="71" spans="1:7" ht="17">
      <c r="A71" s="14" t="s">
        <v>6</v>
      </c>
      <c r="B71" s="14">
        <v>40</v>
      </c>
      <c r="C71" s="14">
        <v>3905</v>
      </c>
      <c r="D71" s="14">
        <v>6524</v>
      </c>
      <c r="E71" s="14">
        <v>52</v>
      </c>
      <c r="F71" s="14">
        <v>932</v>
      </c>
      <c r="G71" s="14">
        <v>25040</v>
      </c>
    </row>
    <row r="73" spans="1:7">
      <c r="A73" t="s">
        <v>28</v>
      </c>
    </row>
    <row r="74" spans="1:7" ht="20">
      <c r="A74" s="13" t="s">
        <v>29</v>
      </c>
    </row>
    <row r="75" spans="1:7" ht="17">
      <c r="A75" s="14" t="s">
        <v>30</v>
      </c>
      <c r="B75" s="14" t="s">
        <v>6</v>
      </c>
      <c r="C75" s="14"/>
      <c r="D75" s="14"/>
      <c r="E75" s="14"/>
      <c r="F75" s="14"/>
      <c r="G75" s="14"/>
    </row>
    <row r="76" spans="1:7" ht="17">
      <c r="A76" s="14">
        <v>4</v>
      </c>
      <c r="B76" s="14">
        <v>12702</v>
      </c>
      <c r="C76" s="14"/>
      <c r="D76" s="14"/>
      <c r="E76" s="14"/>
      <c r="F76" s="14"/>
      <c r="G76" s="14"/>
    </row>
    <row r="77" spans="1:7" ht="17">
      <c r="A77" s="14">
        <v>32</v>
      </c>
      <c r="B77" s="14">
        <v>22000</v>
      </c>
      <c r="C77" s="14"/>
      <c r="D77" s="14"/>
      <c r="E77" s="14"/>
      <c r="F77" s="14"/>
      <c r="G77" s="14"/>
    </row>
    <row r="78" spans="1:7" ht="17">
      <c r="A78" s="14">
        <v>39</v>
      </c>
      <c r="B78" s="14">
        <v>20975</v>
      </c>
      <c r="C78" s="14"/>
      <c r="D78" s="14"/>
      <c r="E78" s="14"/>
      <c r="F78" s="14"/>
      <c r="G78" s="14"/>
    </row>
    <row r="79" spans="1:7" ht="17">
      <c r="A79" s="14">
        <v>40</v>
      </c>
      <c r="B79" s="14">
        <v>25040</v>
      </c>
      <c r="C79" s="14"/>
      <c r="D79" s="14"/>
      <c r="E79" s="14"/>
      <c r="F79" s="14"/>
      <c r="G79" s="14"/>
    </row>
    <row r="80" spans="1:7" ht="17">
      <c r="A80" s="16"/>
    </row>
    <row r="82" spans="1:8" ht="32">
      <c r="A82" s="1" t="s">
        <v>0</v>
      </c>
      <c r="B82" s="23" t="s">
        <v>1</v>
      </c>
      <c r="C82" s="24" t="s">
        <v>2</v>
      </c>
      <c r="D82" s="24" t="s">
        <v>3</v>
      </c>
      <c r="E82" s="25" t="s">
        <v>4</v>
      </c>
      <c r="F82" s="26" t="s">
        <v>5</v>
      </c>
      <c r="G82" s="26" t="s">
        <v>6</v>
      </c>
    </row>
    <row r="83" spans="1:8">
      <c r="A83" s="27">
        <v>1</v>
      </c>
      <c r="B83" s="28" t="s">
        <v>7</v>
      </c>
      <c r="C83" s="29" t="s">
        <v>8</v>
      </c>
      <c r="D83" s="29" t="s">
        <v>9</v>
      </c>
      <c r="E83" s="28" t="s">
        <v>10</v>
      </c>
      <c r="F83" s="29">
        <v>25</v>
      </c>
      <c r="G83" s="29">
        <v>118</v>
      </c>
    </row>
    <row r="84" spans="1:8">
      <c r="A84" s="27">
        <v>5</v>
      </c>
      <c r="B84" s="28" t="s">
        <v>7</v>
      </c>
      <c r="C84" s="28" t="s">
        <v>15</v>
      </c>
      <c r="D84" s="29" t="s">
        <v>9</v>
      </c>
      <c r="E84" s="28" t="s">
        <v>16</v>
      </c>
      <c r="F84" s="29">
        <v>46</v>
      </c>
      <c r="G84" s="29">
        <v>1009</v>
      </c>
    </row>
    <row r="85" spans="1:8">
      <c r="A85" s="27">
        <v>6</v>
      </c>
      <c r="B85" s="28" t="s">
        <v>11</v>
      </c>
      <c r="C85" s="29" t="s">
        <v>8</v>
      </c>
      <c r="D85" s="29" t="s">
        <v>9</v>
      </c>
      <c r="E85" s="28" t="s">
        <v>10</v>
      </c>
      <c r="F85" s="29">
        <v>51</v>
      </c>
      <c r="G85" s="29">
        <v>52</v>
      </c>
    </row>
    <row r="86" spans="1:8">
      <c r="A86" s="27">
        <v>11</v>
      </c>
      <c r="B86" s="28" t="s">
        <v>7</v>
      </c>
      <c r="C86" s="28" t="s">
        <v>15</v>
      </c>
      <c r="D86" s="29" t="s">
        <v>9</v>
      </c>
      <c r="E86" s="28" t="s">
        <v>16</v>
      </c>
      <c r="F86" s="29">
        <v>68</v>
      </c>
      <c r="G86" s="29">
        <v>12702</v>
      </c>
      <c r="H86" s="31" t="s">
        <v>44</v>
      </c>
    </row>
    <row r="87" spans="1:8">
      <c r="A87" s="27">
        <v>18</v>
      </c>
      <c r="B87" s="28" t="s">
        <v>11</v>
      </c>
      <c r="C87" s="29" t="s">
        <v>8</v>
      </c>
      <c r="D87" s="29" t="s">
        <v>9</v>
      </c>
      <c r="E87" s="28" t="s">
        <v>10</v>
      </c>
      <c r="F87" s="29">
        <v>79</v>
      </c>
      <c r="G87" s="29">
        <v>142</v>
      </c>
    </row>
    <row r="88" spans="1:8">
      <c r="A88" s="27">
        <v>20</v>
      </c>
      <c r="B88" s="28" t="s">
        <v>11</v>
      </c>
      <c r="C88" s="28" t="s">
        <v>15</v>
      </c>
      <c r="D88" s="29" t="s">
        <v>9</v>
      </c>
      <c r="E88" s="28" t="s">
        <v>10</v>
      </c>
      <c r="F88" s="28">
        <v>80</v>
      </c>
      <c r="G88" s="28">
        <v>260</v>
      </c>
    </row>
    <row r="89" spans="1:8">
      <c r="A89" s="27">
        <v>21</v>
      </c>
      <c r="B89" s="28" t="s">
        <v>7</v>
      </c>
      <c r="C89" s="28" t="s">
        <v>15</v>
      </c>
      <c r="D89" s="29" t="s">
        <v>9</v>
      </c>
      <c r="E89" s="28" t="s">
        <v>16</v>
      </c>
      <c r="F89" s="29">
        <v>80</v>
      </c>
      <c r="G89" s="29">
        <v>2879</v>
      </c>
    </row>
    <row r="90" spans="1:8">
      <c r="A90" s="27">
        <v>22</v>
      </c>
      <c r="B90" s="28" t="s">
        <v>11</v>
      </c>
      <c r="C90" s="29" t="s">
        <v>8</v>
      </c>
      <c r="D90" s="29" t="s">
        <v>9</v>
      </c>
      <c r="E90" s="28" t="s">
        <v>10</v>
      </c>
      <c r="F90" s="29">
        <v>81</v>
      </c>
      <c r="G90" s="29">
        <v>190</v>
      </c>
    </row>
    <row r="91" spans="1:8">
      <c r="A91" s="27">
        <v>25</v>
      </c>
      <c r="B91" s="28" t="s">
        <v>7</v>
      </c>
      <c r="C91" s="28" t="s">
        <v>15</v>
      </c>
      <c r="D91" s="29" t="s">
        <v>9</v>
      </c>
      <c r="E91" s="28" t="s">
        <v>16</v>
      </c>
      <c r="F91" s="29">
        <v>83</v>
      </c>
      <c r="G91" s="29">
        <v>855</v>
      </c>
    </row>
    <row r="92" spans="1:8">
      <c r="A92" s="27">
        <v>28</v>
      </c>
      <c r="B92" s="28" t="s">
        <v>11</v>
      </c>
      <c r="C92" s="29" t="s">
        <v>8</v>
      </c>
      <c r="D92" s="29" t="s">
        <v>9</v>
      </c>
      <c r="E92" s="28" t="s">
        <v>10</v>
      </c>
      <c r="F92" s="29">
        <v>87</v>
      </c>
      <c r="G92" s="29">
        <v>170</v>
      </c>
    </row>
    <row r="93" spans="1:8">
      <c r="A93" s="27">
        <v>29</v>
      </c>
      <c r="B93" s="28" t="s">
        <v>11</v>
      </c>
      <c r="C93" s="29" t="s">
        <v>8</v>
      </c>
      <c r="D93" s="29" t="s">
        <v>9</v>
      </c>
      <c r="E93" s="28" t="s">
        <v>10</v>
      </c>
      <c r="F93" s="29">
        <v>90</v>
      </c>
      <c r="G93" s="29">
        <v>189</v>
      </c>
    </row>
    <row r="94" spans="1:8">
      <c r="A94" s="27">
        <v>34</v>
      </c>
      <c r="B94" s="28" t="s">
        <v>11</v>
      </c>
      <c r="C94" s="29" t="s">
        <v>8</v>
      </c>
      <c r="D94" s="29" t="s">
        <v>9</v>
      </c>
      <c r="E94" s="28" t="s">
        <v>10</v>
      </c>
      <c r="F94" s="29">
        <v>102</v>
      </c>
      <c r="G94" s="29">
        <v>200</v>
      </c>
    </row>
    <row r="95" spans="1:8">
      <c r="A95" s="27">
        <v>41</v>
      </c>
      <c r="B95" s="28" t="s">
        <v>7</v>
      </c>
      <c r="C95" s="28" t="s">
        <v>15</v>
      </c>
      <c r="D95" s="29" t="s">
        <v>9</v>
      </c>
      <c r="E95" s="28" t="s">
        <v>16</v>
      </c>
      <c r="F95" s="29">
        <v>114</v>
      </c>
      <c r="G95" s="29">
        <v>7290</v>
      </c>
    </row>
    <row r="96" spans="1:8">
      <c r="A96" s="27">
        <v>42</v>
      </c>
      <c r="B96" s="28" t="s">
        <v>11</v>
      </c>
      <c r="C96" s="29" t="s">
        <v>8</v>
      </c>
      <c r="D96" s="29" t="s">
        <v>9</v>
      </c>
      <c r="E96" s="28" t="s">
        <v>16</v>
      </c>
      <c r="F96" s="29">
        <v>115</v>
      </c>
      <c r="G96" s="29">
        <v>285</v>
      </c>
    </row>
    <row r="97" spans="1:7">
      <c r="A97" s="27">
        <v>44</v>
      </c>
      <c r="B97" s="28" t="s">
        <v>7</v>
      </c>
      <c r="C97" s="28" t="s">
        <v>15</v>
      </c>
      <c r="D97" s="29" t="s">
        <v>9</v>
      </c>
      <c r="E97" s="28" t="s">
        <v>16</v>
      </c>
      <c r="F97" s="28">
        <v>115</v>
      </c>
      <c r="G97" s="30">
        <v>2712</v>
      </c>
    </row>
    <row r="98" spans="1:7">
      <c r="A98" s="27">
        <v>53</v>
      </c>
      <c r="B98" s="28" t="s">
        <v>11</v>
      </c>
      <c r="C98" s="29" t="s">
        <v>8</v>
      </c>
      <c r="D98" s="29" t="s">
        <v>9</v>
      </c>
      <c r="E98" s="28" t="s">
        <v>10</v>
      </c>
      <c r="F98" s="29">
        <v>136</v>
      </c>
      <c r="G98" s="29">
        <v>220</v>
      </c>
    </row>
    <row r="99" spans="1:7">
      <c r="A99" s="27">
        <v>56</v>
      </c>
      <c r="B99" s="28" t="s">
        <v>11</v>
      </c>
      <c r="C99" s="29" t="s">
        <v>8</v>
      </c>
      <c r="D99" s="29" t="s">
        <v>9</v>
      </c>
      <c r="E99" s="28" t="s">
        <v>10</v>
      </c>
      <c r="F99" s="29">
        <v>148</v>
      </c>
      <c r="G99" s="29">
        <v>186</v>
      </c>
    </row>
    <row r="100" spans="1:7">
      <c r="A100" s="27">
        <v>57</v>
      </c>
      <c r="B100" s="28" t="s">
        <v>11</v>
      </c>
      <c r="C100" s="29" t="s">
        <v>8</v>
      </c>
      <c r="D100" s="29" t="s">
        <v>9</v>
      </c>
      <c r="E100" s="28" t="s">
        <v>10</v>
      </c>
      <c r="F100" s="29">
        <v>152</v>
      </c>
      <c r="G100" s="29">
        <v>237</v>
      </c>
    </row>
    <row r="101" spans="1:7">
      <c r="A101" s="27">
        <v>58</v>
      </c>
      <c r="B101" s="28" t="s">
        <v>7</v>
      </c>
      <c r="C101" s="28" t="s">
        <v>15</v>
      </c>
      <c r="D101" s="29" t="s">
        <v>9</v>
      </c>
      <c r="E101" s="28" t="s">
        <v>16</v>
      </c>
      <c r="F101" s="29">
        <v>152</v>
      </c>
      <c r="G101" s="29">
        <v>2389</v>
      </c>
    </row>
    <row r="102" spans="1:7">
      <c r="A102" s="27">
        <v>61</v>
      </c>
      <c r="B102" s="28" t="s">
        <v>7</v>
      </c>
      <c r="C102" s="28" t="s">
        <v>15</v>
      </c>
      <c r="D102" s="29" t="s">
        <v>9</v>
      </c>
      <c r="E102" s="28" t="s">
        <v>16</v>
      </c>
      <c r="F102" s="28">
        <v>159</v>
      </c>
      <c r="G102" s="30">
        <v>3689</v>
      </c>
    </row>
    <row r="103" spans="1:7">
      <c r="A103" s="27">
        <v>62</v>
      </c>
      <c r="B103" s="28" t="s">
        <v>11</v>
      </c>
      <c r="C103" s="29" t="s">
        <v>8</v>
      </c>
      <c r="D103" s="29" t="s">
        <v>9</v>
      </c>
      <c r="E103" s="28" t="s">
        <v>10</v>
      </c>
      <c r="F103" s="29">
        <v>160</v>
      </c>
      <c r="G103" s="29">
        <v>242</v>
      </c>
    </row>
    <row r="104" spans="1:7">
      <c r="A104" s="27">
        <v>65</v>
      </c>
      <c r="B104" s="28" t="s">
        <v>11</v>
      </c>
      <c r="C104" s="29" t="s">
        <v>8</v>
      </c>
      <c r="D104" s="29" t="s">
        <v>9</v>
      </c>
      <c r="E104" s="28" t="s">
        <v>10</v>
      </c>
      <c r="F104" s="29">
        <v>169</v>
      </c>
      <c r="G104" s="29">
        <v>215</v>
      </c>
    </row>
    <row r="105" spans="1:7">
      <c r="A105" s="27">
        <v>66</v>
      </c>
      <c r="B105" s="28" t="s">
        <v>7</v>
      </c>
      <c r="C105" s="28" t="s">
        <v>15</v>
      </c>
      <c r="D105" s="29" t="s">
        <v>9</v>
      </c>
      <c r="E105" s="28" t="s">
        <v>16</v>
      </c>
      <c r="F105" s="29">
        <v>174</v>
      </c>
      <c r="G105" s="29">
        <v>1876</v>
      </c>
    </row>
    <row r="106" spans="1:7">
      <c r="A106" s="27">
        <v>67</v>
      </c>
      <c r="B106" s="28" t="s">
        <v>11</v>
      </c>
      <c r="C106" s="29" t="s">
        <v>8</v>
      </c>
      <c r="D106" s="29" t="s">
        <v>9</v>
      </c>
      <c r="E106" s="28" t="s">
        <v>16</v>
      </c>
      <c r="F106" s="29">
        <v>178</v>
      </c>
      <c r="G106" s="29">
        <v>290</v>
      </c>
    </row>
    <row r="107" spans="1:7">
      <c r="A107" s="27">
        <v>68</v>
      </c>
      <c r="B107" s="28" t="s">
        <v>7</v>
      </c>
      <c r="C107" s="28" t="s">
        <v>15</v>
      </c>
      <c r="D107" s="29" t="s">
        <v>9</v>
      </c>
      <c r="E107" s="28" t="s">
        <v>16</v>
      </c>
      <c r="F107" s="29">
        <v>179</v>
      </c>
      <c r="G107" s="29">
        <v>789</v>
      </c>
    </row>
    <row r="108" spans="1:7">
      <c r="A108" s="27">
        <v>69</v>
      </c>
      <c r="B108" s="28" t="s">
        <v>7</v>
      </c>
      <c r="C108" s="28" t="s">
        <v>15</v>
      </c>
      <c r="D108" s="29" t="s">
        <v>9</v>
      </c>
      <c r="E108" s="28" t="s">
        <v>16</v>
      </c>
      <c r="F108" s="29">
        <v>180</v>
      </c>
      <c r="G108" s="29">
        <v>3063</v>
      </c>
    </row>
    <row r="109" spans="1:7">
      <c r="A109" s="27">
        <v>70</v>
      </c>
      <c r="B109" s="28" t="s">
        <v>7</v>
      </c>
      <c r="C109" s="28" t="s">
        <v>15</v>
      </c>
      <c r="D109" s="29" t="s">
        <v>9</v>
      </c>
      <c r="E109" s="28" t="s">
        <v>16</v>
      </c>
      <c r="F109" s="29">
        <v>182</v>
      </c>
      <c r="G109" s="29">
        <v>2629.2</v>
      </c>
    </row>
    <row r="110" spans="1:7">
      <c r="A110" s="27">
        <v>76</v>
      </c>
      <c r="B110" s="28" t="s">
        <v>7</v>
      </c>
      <c r="C110" s="28" t="s">
        <v>15</v>
      </c>
      <c r="D110" s="29" t="s">
        <v>9</v>
      </c>
      <c r="E110" s="28" t="s">
        <v>16</v>
      </c>
      <c r="F110" s="28">
        <v>237</v>
      </c>
      <c r="G110" s="30">
        <v>3065</v>
      </c>
    </row>
    <row r="111" spans="1:7">
      <c r="A111" s="27">
        <v>77</v>
      </c>
      <c r="B111" s="28" t="s">
        <v>7</v>
      </c>
      <c r="C111" s="29" t="s">
        <v>8</v>
      </c>
      <c r="D111" s="29" t="s">
        <v>9</v>
      </c>
      <c r="E111" s="28" t="s">
        <v>16</v>
      </c>
      <c r="F111" s="29">
        <v>250</v>
      </c>
      <c r="G111" s="29">
        <v>400</v>
      </c>
    </row>
    <row r="112" spans="1:7">
      <c r="A112" s="27">
        <v>78</v>
      </c>
      <c r="B112" s="28" t="s">
        <v>7</v>
      </c>
      <c r="C112" s="28" t="s">
        <v>15</v>
      </c>
      <c r="D112" s="29" t="s">
        <v>9</v>
      </c>
      <c r="E112" s="28" t="s">
        <v>16</v>
      </c>
      <c r="F112" s="28">
        <v>297</v>
      </c>
      <c r="G112" s="30">
        <v>2684</v>
      </c>
    </row>
    <row r="113" spans="1:8">
      <c r="A113" s="27">
        <v>79</v>
      </c>
      <c r="B113" s="28" t="s">
        <v>7</v>
      </c>
      <c r="C113" s="28" t="s">
        <v>15</v>
      </c>
      <c r="D113" s="29" t="s">
        <v>9</v>
      </c>
      <c r="E113" s="28" t="s">
        <v>16</v>
      </c>
      <c r="F113" s="29">
        <v>297</v>
      </c>
      <c r="G113" s="29">
        <v>7449</v>
      </c>
    </row>
    <row r="114" spans="1:8">
      <c r="A114" s="27">
        <v>81</v>
      </c>
      <c r="B114" s="28" t="s">
        <v>7</v>
      </c>
      <c r="C114" s="28" t="s">
        <v>15</v>
      </c>
      <c r="D114" s="29" t="s">
        <v>9</v>
      </c>
      <c r="E114" s="28" t="s">
        <v>16</v>
      </c>
      <c r="F114" s="29">
        <v>382</v>
      </c>
      <c r="G114" s="29">
        <v>22000</v>
      </c>
      <c r="H114" s="31" t="s">
        <v>44</v>
      </c>
    </row>
    <row r="115" spans="1:8">
      <c r="A115" s="27">
        <v>82</v>
      </c>
      <c r="B115" s="28" t="s">
        <v>7</v>
      </c>
      <c r="C115" s="28" t="s">
        <v>17</v>
      </c>
      <c r="D115" s="29" t="s">
        <v>9</v>
      </c>
      <c r="E115" s="28" t="s">
        <v>16</v>
      </c>
      <c r="F115" s="29">
        <v>443</v>
      </c>
      <c r="G115" s="29">
        <v>796</v>
      </c>
    </row>
    <row r="116" spans="1:8">
      <c r="A116" s="27">
        <v>83</v>
      </c>
      <c r="B116" s="28" t="s">
        <v>7</v>
      </c>
      <c r="C116" s="28" t="s">
        <v>15</v>
      </c>
      <c r="D116" s="29" t="s">
        <v>9</v>
      </c>
      <c r="E116" s="28" t="s">
        <v>16</v>
      </c>
      <c r="F116" s="29">
        <v>460</v>
      </c>
      <c r="G116" s="29">
        <v>1667</v>
      </c>
    </row>
    <row r="117" spans="1:8">
      <c r="A117" s="27">
        <v>84</v>
      </c>
      <c r="B117" s="28" t="s">
        <v>7</v>
      </c>
      <c r="C117" s="29" t="s">
        <v>8</v>
      </c>
      <c r="D117" s="29" t="s">
        <v>9</v>
      </c>
      <c r="E117" s="28" t="s">
        <v>16</v>
      </c>
      <c r="F117" s="29">
        <v>500</v>
      </c>
      <c r="G117" s="29">
        <v>700</v>
      </c>
    </row>
    <row r="118" spans="1:8">
      <c r="A118" s="27">
        <v>85</v>
      </c>
      <c r="B118" s="28" t="s">
        <v>7</v>
      </c>
      <c r="C118" s="28" t="s">
        <v>15</v>
      </c>
      <c r="D118" s="29" t="s">
        <v>9</v>
      </c>
      <c r="E118" s="28" t="s">
        <v>16</v>
      </c>
      <c r="F118" s="28">
        <v>500</v>
      </c>
      <c r="G118" s="30">
        <v>2510</v>
      </c>
    </row>
    <row r="119" spans="1:8">
      <c r="A119" s="27">
        <v>86</v>
      </c>
      <c r="B119" s="28" t="s">
        <v>7</v>
      </c>
      <c r="C119" s="28" t="s">
        <v>15</v>
      </c>
      <c r="D119" s="29" t="s">
        <v>9</v>
      </c>
      <c r="E119" s="28" t="s">
        <v>16</v>
      </c>
      <c r="F119" s="29">
        <v>568</v>
      </c>
      <c r="G119" s="29">
        <v>5873</v>
      </c>
    </row>
    <row r="120" spans="1:8">
      <c r="A120" s="27">
        <v>87</v>
      </c>
      <c r="B120" s="28" t="s">
        <v>7</v>
      </c>
      <c r="C120" s="28" t="s">
        <v>15</v>
      </c>
      <c r="D120" s="29" t="s">
        <v>9</v>
      </c>
      <c r="E120" s="28" t="s">
        <v>16</v>
      </c>
      <c r="F120" s="29">
        <v>620</v>
      </c>
      <c r="G120" s="29">
        <v>18160</v>
      </c>
    </row>
    <row r="121" spans="1:8">
      <c r="A121" s="27">
        <v>88</v>
      </c>
      <c r="B121" s="28" t="s">
        <v>7</v>
      </c>
      <c r="C121" s="28" t="s">
        <v>15</v>
      </c>
      <c r="D121" s="29" t="s">
        <v>9</v>
      </c>
      <c r="E121" s="28" t="s">
        <v>16</v>
      </c>
      <c r="F121" s="29">
        <v>730</v>
      </c>
      <c r="G121" s="29">
        <v>20975</v>
      </c>
      <c r="H121" s="31" t="s">
        <v>44</v>
      </c>
    </row>
    <row r="122" spans="1:8">
      <c r="A122" s="27">
        <v>89</v>
      </c>
      <c r="B122" s="28" t="s">
        <v>7</v>
      </c>
      <c r="C122" s="28" t="s">
        <v>15</v>
      </c>
      <c r="D122" s="29" t="s">
        <v>9</v>
      </c>
      <c r="E122" s="28" t="s">
        <v>16</v>
      </c>
      <c r="F122" s="29">
        <v>779</v>
      </c>
      <c r="G122" s="29">
        <v>25040</v>
      </c>
      <c r="H122" s="31" t="s">
        <v>44</v>
      </c>
    </row>
    <row r="125" spans="1:8" ht="32">
      <c r="A125" s="1" t="s">
        <v>0</v>
      </c>
      <c r="B125" s="23" t="s">
        <v>1</v>
      </c>
      <c r="C125" s="24" t="s">
        <v>2</v>
      </c>
      <c r="D125" s="24" t="s">
        <v>3</v>
      </c>
      <c r="E125" s="25" t="s">
        <v>4</v>
      </c>
      <c r="F125" s="26" t="s">
        <v>5</v>
      </c>
      <c r="G125" s="26" t="s">
        <v>6</v>
      </c>
    </row>
    <row r="126" spans="1:8">
      <c r="A126" s="27">
        <v>1</v>
      </c>
      <c r="B126" s="28" t="s">
        <v>7</v>
      </c>
      <c r="C126" s="29" t="s">
        <v>8</v>
      </c>
      <c r="D126" s="29" t="s">
        <v>9</v>
      </c>
      <c r="E126" s="28" t="s">
        <v>10</v>
      </c>
      <c r="F126" s="29">
        <v>25</v>
      </c>
      <c r="G126" s="29">
        <v>118</v>
      </c>
    </row>
    <row r="127" spans="1:8">
      <c r="A127" s="27">
        <v>5</v>
      </c>
      <c r="B127" s="28" t="s">
        <v>7</v>
      </c>
      <c r="C127" s="28" t="s">
        <v>15</v>
      </c>
      <c r="D127" s="29" t="s">
        <v>9</v>
      </c>
      <c r="E127" s="28" t="s">
        <v>16</v>
      </c>
      <c r="F127" s="29">
        <v>46</v>
      </c>
      <c r="G127" s="29">
        <v>1009</v>
      </c>
    </row>
    <row r="128" spans="1:8">
      <c r="A128" s="27">
        <v>6</v>
      </c>
      <c r="B128" s="28" t="s">
        <v>11</v>
      </c>
      <c r="C128" s="29" t="s">
        <v>8</v>
      </c>
      <c r="D128" s="29" t="s">
        <v>9</v>
      </c>
      <c r="E128" s="28" t="s">
        <v>10</v>
      </c>
      <c r="F128" s="29">
        <v>51</v>
      </c>
      <c r="G128" s="29">
        <v>52</v>
      </c>
    </row>
    <row r="129" spans="1:7">
      <c r="A129" s="27">
        <v>18</v>
      </c>
      <c r="B129" s="28" t="s">
        <v>11</v>
      </c>
      <c r="C129" s="29" t="s">
        <v>8</v>
      </c>
      <c r="D129" s="29" t="s">
        <v>9</v>
      </c>
      <c r="E129" s="28" t="s">
        <v>10</v>
      </c>
      <c r="F129" s="29">
        <v>79</v>
      </c>
      <c r="G129" s="29">
        <v>142</v>
      </c>
    </row>
    <row r="130" spans="1:7">
      <c r="A130" s="27">
        <v>20</v>
      </c>
      <c r="B130" s="28" t="s">
        <v>11</v>
      </c>
      <c r="C130" s="28" t="s">
        <v>15</v>
      </c>
      <c r="D130" s="29" t="s">
        <v>9</v>
      </c>
      <c r="E130" s="28" t="s">
        <v>10</v>
      </c>
      <c r="F130" s="28">
        <v>80</v>
      </c>
      <c r="G130" s="28">
        <v>260</v>
      </c>
    </row>
    <row r="131" spans="1:7">
      <c r="A131" s="27">
        <v>21</v>
      </c>
      <c r="B131" s="28" t="s">
        <v>7</v>
      </c>
      <c r="C131" s="28" t="s">
        <v>15</v>
      </c>
      <c r="D131" s="29" t="s">
        <v>9</v>
      </c>
      <c r="E131" s="28" t="s">
        <v>16</v>
      </c>
      <c r="F131" s="29">
        <v>80</v>
      </c>
      <c r="G131" s="29">
        <v>2879</v>
      </c>
    </row>
    <row r="132" spans="1:7">
      <c r="A132" s="27">
        <v>22</v>
      </c>
      <c r="B132" s="28" t="s">
        <v>11</v>
      </c>
      <c r="C132" s="29" t="s">
        <v>8</v>
      </c>
      <c r="D132" s="29" t="s">
        <v>9</v>
      </c>
      <c r="E132" s="28" t="s">
        <v>10</v>
      </c>
      <c r="F132" s="29">
        <v>81</v>
      </c>
      <c r="G132" s="29">
        <v>190</v>
      </c>
    </row>
    <row r="133" spans="1:7">
      <c r="A133" s="27">
        <v>25</v>
      </c>
      <c r="B133" s="28" t="s">
        <v>7</v>
      </c>
      <c r="C133" s="28" t="s">
        <v>15</v>
      </c>
      <c r="D133" s="29" t="s">
        <v>9</v>
      </c>
      <c r="E133" s="28" t="s">
        <v>16</v>
      </c>
      <c r="F133" s="29">
        <v>83</v>
      </c>
      <c r="G133" s="29">
        <v>855</v>
      </c>
    </row>
    <row r="134" spans="1:7">
      <c r="A134" s="27">
        <v>28</v>
      </c>
      <c r="B134" s="28" t="s">
        <v>11</v>
      </c>
      <c r="C134" s="29" t="s">
        <v>8</v>
      </c>
      <c r="D134" s="29" t="s">
        <v>9</v>
      </c>
      <c r="E134" s="28" t="s">
        <v>10</v>
      </c>
      <c r="F134" s="29">
        <v>87</v>
      </c>
      <c r="G134" s="29">
        <v>170</v>
      </c>
    </row>
    <row r="135" spans="1:7">
      <c r="A135" s="27">
        <v>29</v>
      </c>
      <c r="B135" s="28" t="s">
        <v>11</v>
      </c>
      <c r="C135" s="29" t="s">
        <v>8</v>
      </c>
      <c r="D135" s="29" t="s">
        <v>9</v>
      </c>
      <c r="E135" s="28" t="s">
        <v>10</v>
      </c>
      <c r="F135" s="29">
        <v>90</v>
      </c>
      <c r="G135" s="29">
        <v>189</v>
      </c>
    </row>
    <row r="136" spans="1:7">
      <c r="A136" s="27">
        <v>34</v>
      </c>
      <c r="B136" s="28" t="s">
        <v>11</v>
      </c>
      <c r="C136" s="29" t="s">
        <v>8</v>
      </c>
      <c r="D136" s="29" t="s">
        <v>9</v>
      </c>
      <c r="E136" s="28" t="s">
        <v>10</v>
      </c>
      <c r="F136" s="29">
        <v>102</v>
      </c>
      <c r="G136" s="29">
        <v>200</v>
      </c>
    </row>
    <row r="137" spans="1:7">
      <c r="A137" s="27">
        <v>41</v>
      </c>
      <c r="B137" s="28" t="s">
        <v>7</v>
      </c>
      <c r="C137" s="28" t="s">
        <v>15</v>
      </c>
      <c r="D137" s="29" t="s">
        <v>9</v>
      </c>
      <c r="E137" s="28" t="s">
        <v>16</v>
      </c>
      <c r="F137" s="29">
        <v>114</v>
      </c>
      <c r="G137" s="29">
        <v>7290</v>
      </c>
    </row>
    <row r="138" spans="1:7">
      <c r="A138" s="27">
        <v>42</v>
      </c>
      <c r="B138" s="28" t="s">
        <v>11</v>
      </c>
      <c r="C138" s="29" t="s">
        <v>8</v>
      </c>
      <c r="D138" s="29" t="s">
        <v>9</v>
      </c>
      <c r="E138" s="28" t="s">
        <v>16</v>
      </c>
      <c r="F138" s="29">
        <v>115</v>
      </c>
      <c r="G138" s="29">
        <v>285</v>
      </c>
    </row>
    <row r="139" spans="1:7">
      <c r="A139" s="27">
        <v>44</v>
      </c>
      <c r="B139" s="28" t="s">
        <v>7</v>
      </c>
      <c r="C139" s="28" t="s">
        <v>15</v>
      </c>
      <c r="D139" s="29" t="s">
        <v>9</v>
      </c>
      <c r="E139" s="28" t="s">
        <v>16</v>
      </c>
      <c r="F139" s="28">
        <v>115</v>
      </c>
      <c r="G139" s="30">
        <v>2712</v>
      </c>
    </row>
    <row r="140" spans="1:7">
      <c r="A140" s="27">
        <v>53</v>
      </c>
      <c r="B140" s="28" t="s">
        <v>11</v>
      </c>
      <c r="C140" s="29" t="s">
        <v>8</v>
      </c>
      <c r="D140" s="29" t="s">
        <v>9</v>
      </c>
      <c r="E140" s="28" t="s">
        <v>10</v>
      </c>
      <c r="F140" s="29">
        <v>136</v>
      </c>
      <c r="G140" s="29">
        <v>220</v>
      </c>
    </row>
    <row r="141" spans="1:7">
      <c r="A141" s="27">
        <v>56</v>
      </c>
      <c r="B141" s="28" t="s">
        <v>11</v>
      </c>
      <c r="C141" s="29" t="s">
        <v>8</v>
      </c>
      <c r="D141" s="29" t="s">
        <v>9</v>
      </c>
      <c r="E141" s="28" t="s">
        <v>10</v>
      </c>
      <c r="F141" s="29">
        <v>148</v>
      </c>
      <c r="G141" s="29">
        <v>186</v>
      </c>
    </row>
    <row r="142" spans="1:7">
      <c r="A142" s="27">
        <v>57</v>
      </c>
      <c r="B142" s="28" t="s">
        <v>11</v>
      </c>
      <c r="C142" s="29" t="s">
        <v>8</v>
      </c>
      <c r="D142" s="29" t="s">
        <v>9</v>
      </c>
      <c r="E142" s="28" t="s">
        <v>10</v>
      </c>
      <c r="F142" s="29">
        <v>152</v>
      </c>
      <c r="G142" s="29">
        <v>237</v>
      </c>
    </row>
    <row r="143" spans="1:7">
      <c r="A143" s="27">
        <v>58</v>
      </c>
      <c r="B143" s="28" t="s">
        <v>7</v>
      </c>
      <c r="C143" s="28" t="s">
        <v>15</v>
      </c>
      <c r="D143" s="29" t="s">
        <v>9</v>
      </c>
      <c r="E143" s="28" t="s">
        <v>16</v>
      </c>
      <c r="F143" s="29">
        <v>152</v>
      </c>
      <c r="G143" s="29">
        <v>2389</v>
      </c>
    </row>
    <row r="144" spans="1:7">
      <c r="A144" s="27">
        <v>61</v>
      </c>
      <c r="B144" s="28" t="s">
        <v>7</v>
      </c>
      <c r="C144" s="28" t="s">
        <v>15</v>
      </c>
      <c r="D144" s="29" t="s">
        <v>9</v>
      </c>
      <c r="E144" s="28" t="s">
        <v>16</v>
      </c>
      <c r="F144" s="28">
        <v>159</v>
      </c>
      <c r="G144" s="30">
        <v>3689</v>
      </c>
    </row>
    <row r="145" spans="1:7">
      <c r="A145" s="27">
        <v>62</v>
      </c>
      <c r="B145" s="28" t="s">
        <v>11</v>
      </c>
      <c r="C145" s="29" t="s">
        <v>8</v>
      </c>
      <c r="D145" s="29" t="s">
        <v>9</v>
      </c>
      <c r="E145" s="28" t="s">
        <v>10</v>
      </c>
      <c r="F145" s="29">
        <v>160</v>
      </c>
      <c r="G145" s="29">
        <v>242</v>
      </c>
    </row>
    <row r="146" spans="1:7">
      <c r="A146" s="27">
        <v>65</v>
      </c>
      <c r="B146" s="28" t="s">
        <v>11</v>
      </c>
      <c r="C146" s="29" t="s">
        <v>8</v>
      </c>
      <c r="D146" s="29" t="s">
        <v>9</v>
      </c>
      <c r="E146" s="28" t="s">
        <v>10</v>
      </c>
      <c r="F146" s="29">
        <v>169</v>
      </c>
      <c r="G146" s="29">
        <v>215</v>
      </c>
    </row>
    <row r="147" spans="1:7">
      <c r="A147" s="27">
        <v>66</v>
      </c>
      <c r="B147" s="28" t="s">
        <v>7</v>
      </c>
      <c r="C147" s="28" t="s">
        <v>15</v>
      </c>
      <c r="D147" s="29" t="s">
        <v>9</v>
      </c>
      <c r="E147" s="28" t="s">
        <v>16</v>
      </c>
      <c r="F147" s="29">
        <v>174</v>
      </c>
      <c r="G147" s="29">
        <v>1876</v>
      </c>
    </row>
    <row r="148" spans="1:7">
      <c r="A148" s="27">
        <v>67</v>
      </c>
      <c r="B148" s="28" t="s">
        <v>11</v>
      </c>
      <c r="C148" s="29" t="s">
        <v>8</v>
      </c>
      <c r="D148" s="29" t="s">
        <v>9</v>
      </c>
      <c r="E148" s="28" t="s">
        <v>16</v>
      </c>
      <c r="F148" s="29">
        <v>178</v>
      </c>
      <c r="G148" s="29">
        <v>290</v>
      </c>
    </row>
    <row r="149" spans="1:7">
      <c r="A149" s="27">
        <v>68</v>
      </c>
      <c r="B149" s="28" t="s">
        <v>7</v>
      </c>
      <c r="C149" s="28" t="s">
        <v>15</v>
      </c>
      <c r="D149" s="29" t="s">
        <v>9</v>
      </c>
      <c r="E149" s="28" t="s">
        <v>16</v>
      </c>
      <c r="F149" s="29">
        <v>179</v>
      </c>
      <c r="G149" s="29">
        <v>789</v>
      </c>
    </row>
    <row r="150" spans="1:7">
      <c r="A150" s="27">
        <v>69</v>
      </c>
      <c r="B150" s="28" t="s">
        <v>7</v>
      </c>
      <c r="C150" s="28" t="s">
        <v>15</v>
      </c>
      <c r="D150" s="29" t="s">
        <v>9</v>
      </c>
      <c r="E150" s="28" t="s">
        <v>16</v>
      </c>
      <c r="F150" s="29">
        <v>180</v>
      </c>
      <c r="G150" s="29">
        <v>3063</v>
      </c>
    </row>
    <row r="151" spans="1:7">
      <c r="A151" s="27">
        <v>70</v>
      </c>
      <c r="B151" s="28" t="s">
        <v>7</v>
      </c>
      <c r="C151" s="28" t="s">
        <v>15</v>
      </c>
      <c r="D151" s="29" t="s">
        <v>9</v>
      </c>
      <c r="E151" s="28" t="s">
        <v>16</v>
      </c>
      <c r="F151" s="29">
        <v>182</v>
      </c>
      <c r="G151" s="29">
        <v>2629.2</v>
      </c>
    </row>
    <row r="152" spans="1:7">
      <c r="A152" s="27">
        <v>76</v>
      </c>
      <c r="B152" s="28" t="s">
        <v>7</v>
      </c>
      <c r="C152" s="28" t="s">
        <v>15</v>
      </c>
      <c r="D152" s="29" t="s">
        <v>9</v>
      </c>
      <c r="E152" s="28" t="s">
        <v>16</v>
      </c>
      <c r="F152" s="28">
        <v>237</v>
      </c>
      <c r="G152" s="30">
        <v>3065</v>
      </c>
    </row>
    <row r="153" spans="1:7">
      <c r="A153" s="27">
        <v>77</v>
      </c>
      <c r="B153" s="28" t="s">
        <v>7</v>
      </c>
      <c r="C153" s="29" t="s">
        <v>8</v>
      </c>
      <c r="D153" s="29" t="s">
        <v>9</v>
      </c>
      <c r="E153" s="28" t="s">
        <v>16</v>
      </c>
      <c r="F153" s="29">
        <v>250</v>
      </c>
      <c r="G153" s="29">
        <v>400</v>
      </c>
    </row>
    <row r="154" spans="1:7">
      <c r="A154" s="27">
        <v>78</v>
      </c>
      <c r="B154" s="28" t="s">
        <v>7</v>
      </c>
      <c r="C154" s="28" t="s">
        <v>15</v>
      </c>
      <c r="D154" s="29" t="s">
        <v>9</v>
      </c>
      <c r="E154" s="28" t="s">
        <v>16</v>
      </c>
      <c r="F154" s="28">
        <v>297</v>
      </c>
      <c r="G154" s="30">
        <v>2684</v>
      </c>
    </row>
    <row r="155" spans="1:7">
      <c r="A155" s="27">
        <v>79</v>
      </c>
      <c r="B155" s="28" t="s">
        <v>7</v>
      </c>
      <c r="C155" s="28" t="s">
        <v>15</v>
      </c>
      <c r="D155" s="29" t="s">
        <v>9</v>
      </c>
      <c r="E155" s="28" t="s">
        <v>16</v>
      </c>
      <c r="F155" s="29">
        <v>297</v>
      </c>
      <c r="G155" s="29">
        <v>7449</v>
      </c>
    </row>
    <row r="156" spans="1:7">
      <c r="A156" s="27">
        <v>82</v>
      </c>
      <c r="B156" s="28" t="s">
        <v>7</v>
      </c>
      <c r="C156" s="28" t="s">
        <v>17</v>
      </c>
      <c r="D156" s="29" t="s">
        <v>9</v>
      </c>
      <c r="E156" s="28" t="s">
        <v>16</v>
      </c>
      <c r="F156" s="29">
        <v>443</v>
      </c>
      <c r="G156" s="29">
        <v>796</v>
      </c>
    </row>
    <row r="157" spans="1:7">
      <c r="A157" s="27">
        <v>83</v>
      </c>
      <c r="B157" s="28" t="s">
        <v>7</v>
      </c>
      <c r="C157" s="28" t="s">
        <v>15</v>
      </c>
      <c r="D157" s="29" t="s">
        <v>9</v>
      </c>
      <c r="E157" s="28" t="s">
        <v>16</v>
      </c>
      <c r="F157" s="29">
        <v>460</v>
      </c>
      <c r="G157" s="29">
        <v>1667</v>
      </c>
    </row>
    <row r="158" spans="1:7">
      <c r="A158" s="27">
        <v>84</v>
      </c>
      <c r="B158" s="28" t="s">
        <v>7</v>
      </c>
      <c r="C158" s="29" t="s">
        <v>8</v>
      </c>
      <c r="D158" s="29" t="s">
        <v>9</v>
      </c>
      <c r="E158" s="28" t="s">
        <v>16</v>
      </c>
      <c r="F158" s="29">
        <v>500</v>
      </c>
      <c r="G158" s="29">
        <v>700</v>
      </c>
    </row>
    <row r="159" spans="1:7">
      <c r="A159" s="27">
        <v>85</v>
      </c>
      <c r="B159" s="28" t="s">
        <v>7</v>
      </c>
      <c r="C159" s="28" t="s">
        <v>15</v>
      </c>
      <c r="D159" s="29" t="s">
        <v>9</v>
      </c>
      <c r="E159" s="28" t="s">
        <v>16</v>
      </c>
      <c r="F159" s="28">
        <v>500</v>
      </c>
      <c r="G159" s="30">
        <v>2510</v>
      </c>
    </row>
    <row r="160" spans="1:7">
      <c r="A160" s="27">
        <v>86</v>
      </c>
      <c r="B160" s="28" t="s">
        <v>7</v>
      </c>
      <c r="C160" s="28" t="s">
        <v>15</v>
      </c>
      <c r="D160" s="29" t="s">
        <v>9</v>
      </c>
      <c r="E160" s="28" t="s">
        <v>16</v>
      </c>
      <c r="F160" s="29">
        <v>568</v>
      </c>
      <c r="G160" s="29">
        <v>5873</v>
      </c>
    </row>
    <row r="161" spans="1:7">
      <c r="A161" s="27">
        <v>87</v>
      </c>
      <c r="B161" s="28" t="s">
        <v>7</v>
      </c>
      <c r="C161" s="28" t="s">
        <v>15</v>
      </c>
      <c r="D161" s="29" t="s">
        <v>9</v>
      </c>
      <c r="E161" s="28" t="s">
        <v>16</v>
      </c>
      <c r="F161" s="29">
        <v>620</v>
      </c>
      <c r="G161" s="29">
        <v>18160</v>
      </c>
    </row>
    <row r="163" spans="1:7">
      <c r="A163" t="s">
        <v>28</v>
      </c>
    </row>
    <row r="164" spans="1:7" ht="20">
      <c r="A164" s="13" t="s">
        <v>29</v>
      </c>
    </row>
    <row r="165" spans="1:7" ht="17">
      <c r="A165" s="14" t="s">
        <v>30</v>
      </c>
      <c r="B165" s="14" t="s">
        <v>6</v>
      </c>
      <c r="C165" s="14"/>
      <c r="D165" s="14"/>
      <c r="E165" s="14"/>
      <c r="F165" s="14"/>
      <c r="G165" s="14"/>
    </row>
    <row r="166" spans="1:7" ht="17">
      <c r="A166" s="14">
        <v>12</v>
      </c>
      <c r="B166" s="14">
        <v>7290</v>
      </c>
      <c r="C166" s="14"/>
      <c r="D166" s="14"/>
      <c r="E166" s="14"/>
      <c r="F166" s="14"/>
      <c r="G166" s="14"/>
    </row>
    <row r="167" spans="1:7" ht="17">
      <c r="A167" s="14">
        <v>35</v>
      </c>
      <c r="B167" s="14">
        <v>5873</v>
      </c>
      <c r="C167" s="14"/>
      <c r="D167" s="14"/>
      <c r="E167" s="14"/>
      <c r="F167" s="14"/>
      <c r="G167" s="14"/>
    </row>
    <row r="168" spans="1:7" ht="17">
      <c r="A168" s="14">
        <v>36</v>
      </c>
      <c r="B168" s="14">
        <v>18160</v>
      </c>
      <c r="C168" s="14"/>
      <c r="D168" s="14"/>
      <c r="E168" s="14"/>
      <c r="F168" s="14"/>
      <c r="G168" s="14"/>
    </row>
    <row r="170" spans="1:7" ht="32">
      <c r="A170" s="1" t="s">
        <v>0</v>
      </c>
      <c r="B170" s="23" t="s">
        <v>1</v>
      </c>
      <c r="C170" s="24" t="s">
        <v>2</v>
      </c>
      <c r="D170" s="24" t="s">
        <v>3</v>
      </c>
      <c r="E170" s="25" t="s">
        <v>4</v>
      </c>
      <c r="F170" s="26" t="s">
        <v>5</v>
      </c>
      <c r="G170" s="26" t="s">
        <v>6</v>
      </c>
    </row>
    <row r="171" spans="1:7">
      <c r="A171" s="27">
        <v>1</v>
      </c>
      <c r="B171" s="28" t="s">
        <v>7</v>
      </c>
      <c r="C171" s="29" t="s">
        <v>8</v>
      </c>
      <c r="D171" s="29" t="s">
        <v>9</v>
      </c>
      <c r="E171" s="28" t="s">
        <v>10</v>
      </c>
      <c r="F171" s="29">
        <v>25</v>
      </c>
      <c r="G171" s="29">
        <v>118</v>
      </c>
    </row>
    <row r="172" spans="1:7">
      <c r="A172" s="27">
        <v>5</v>
      </c>
      <c r="B172" s="28" t="s">
        <v>7</v>
      </c>
      <c r="C172" s="28" t="s">
        <v>15</v>
      </c>
      <c r="D172" s="29" t="s">
        <v>9</v>
      </c>
      <c r="E172" s="28" t="s">
        <v>16</v>
      </c>
      <c r="F172" s="29">
        <v>46</v>
      </c>
      <c r="G172" s="29">
        <v>1009</v>
      </c>
    </row>
    <row r="173" spans="1:7">
      <c r="A173" s="27">
        <v>6</v>
      </c>
      <c r="B173" s="28" t="s">
        <v>11</v>
      </c>
      <c r="C173" s="29" t="s">
        <v>8</v>
      </c>
      <c r="D173" s="29" t="s">
        <v>9</v>
      </c>
      <c r="E173" s="28" t="s">
        <v>10</v>
      </c>
      <c r="F173" s="29">
        <v>51</v>
      </c>
      <c r="G173" s="29">
        <v>52</v>
      </c>
    </row>
    <row r="174" spans="1:7">
      <c r="A174" s="27">
        <v>18</v>
      </c>
      <c r="B174" s="28" t="s">
        <v>11</v>
      </c>
      <c r="C174" s="29" t="s">
        <v>8</v>
      </c>
      <c r="D174" s="29" t="s">
        <v>9</v>
      </c>
      <c r="E174" s="28" t="s">
        <v>10</v>
      </c>
      <c r="F174" s="29">
        <v>79</v>
      </c>
      <c r="G174" s="29">
        <v>142</v>
      </c>
    </row>
    <row r="175" spans="1:7">
      <c r="A175" s="27">
        <v>20</v>
      </c>
      <c r="B175" s="28" t="s">
        <v>11</v>
      </c>
      <c r="C175" s="28" t="s">
        <v>15</v>
      </c>
      <c r="D175" s="29" t="s">
        <v>9</v>
      </c>
      <c r="E175" s="28" t="s">
        <v>10</v>
      </c>
      <c r="F175" s="28">
        <v>80</v>
      </c>
      <c r="G175" s="28">
        <v>260</v>
      </c>
    </row>
    <row r="176" spans="1:7">
      <c r="A176" s="27">
        <v>21</v>
      </c>
      <c r="B176" s="28" t="s">
        <v>7</v>
      </c>
      <c r="C176" s="28" t="s">
        <v>15</v>
      </c>
      <c r="D176" s="29" t="s">
        <v>9</v>
      </c>
      <c r="E176" s="28" t="s">
        <v>16</v>
      </c>
      <c r="F176" s="29">
        <v>80</v>
      </c>
      <c r="G176" s="29">
        <v>2879</v>
      </c>
    </row>
    <row r="177" spans="1:8">
      <c r="A177" s="27">
        <v>22</v>
      </c>
      <c r="B177" s="28" t="s">
        <v>11</v>
      </c>
      <c r="C177" s="29" t="s">
        <v>8</v>
      </c>
      <c r="D177" s="29" t="s">
        <v>9</v>
      </c>
      <c r="E177" s="28" t="s">
        <v>10</v>
      </c>
      <c r="F177" s="29">
        <v>81</v>
      </c>
      <c r="G177" s="29">
        <v>190</v>
      </c>
    </row>
    <row r="178" spans="1:8">
      <c r="A178" s="27">
        <v>25</v>
      </c>
      <c r="B178" s="28" t="s">
        <v>7</v>
      </c>
      <c r="C178" s="28" t="s">
        <v>15</v>
      </c>
      <c r="D178" s="29" t="s">
        <v>9</v>
      </c>
      <c r="E178" s="28" t="s">
        <v>16</v>
      </c>
      <c r="F178" s="29">
        <v>83</v>
      </c>
      <c r="G178" s="29">
        <v>855</v>
      </c>
    </row>
    <row r="179" spans="1:8">
      <c r="A179" s="27">
        <v>28</v>
      </c>
      <c r="B179" s="28" t="s">
        <v>11</v>
      </c>
      <c r="C179" s="29" t="s">
        <v>8</v>
      </c>
      <c r="D179" s="29" t="s">
        <v>9</v>
      </c>
      <c r="E179" s="28" t="s">
        <v>10</v>
      </c>
      <c r="F179" s="29">
        <v>87</v>
      </c>
      <c r="G179" s="29">
        <v>170</v>
      </c>
    </row>
    <row r="180" spans="1:8">
      <c r="A180" s="27">
        <v>29</v>
      </c>
      <c r="B180" s="28" t="s">
        <v>11</v>
      </c>
      <c r="C180" s="29" t="s">
        <v>8</v>
      </c>
      <c r="D180" s="29" t="s">
        <v>9</v>
      </c>
      <c r="E180" s="28" t="s">
        <v>10</v>
      </c>
      <c r="F180" s="29">
        <v>90</v>
      </c>
      <c r="G180" s="29">
        <v>189</v>
      </c>
    </row>
    <row r="181" spans="1:8">
      <c r="A181" s="27">
        <v>34</v>
      </c>
      <c r="B181" s="28" t="s">
        <v>11</v>
      </c>
      <c r="C181" s="29" t="s">
        <v>8</v>
      </c>
      <c r="D181" s="29" t="s">
        <v>9</v>
      </c>
      <c r="E181" s="28" t="s">
        <v>10</v>
      </c>
      <c r="F181" s="29">
        <v>102</v>
      </c>
      <c r="G181" s="29">
        <v>200</v>
      </c>
    </row>
    <row r="182" spans="1:8">
      <c r="A182" s="27">
        <v>41</v>
      </c>
      <c r="B182" s="28" t="s">
        <v>7</v>
      </c>
      <c r="C182" s="28" t="s">
        <v>15</v>
      </c>
      <c r="D182" s="29" t="s">
        <v>9</v>
      </c>
      <c r="E182" s="28" t="s">
        <v>16</v>
      </c>
      <c r="F182" s="29">
        <v>114</v>
      </c>
      <c r="G182" s="29">
        <v>7290</v>
      </c>
      <c r="H182" s="31" t="s">
        <v>44</v>
      </c>
    </row>
    <row r="183" spans="1:8">
      <c r="A183" s="27">
        <v>42</v>
      </c>
      <c r="B183" s="28" t="s">
        <v>11</v>
      </c>
      <c r="C183" s="29" t="s">
        <v>8</v>
      </c>
      <c r="D183" s="29" t="s">
        <v>9</v>
      </c>
      <c r="E183" s="28" t="s">
        <v>16</v>
      </c>
      <c r="F183" s="29">
        <v>115</v>
      </c>
      <c r="G183" s="29">
        <v>285</v>
      </c>
    </row>
    <row r="184" spans="1:8">
      <c r="A184" s="27">
        <v>44</v>
      </c>
      <c r="B184" s="28" t="s">
        <v>7</v>
      </c>
      <c r="C184" s="28" t="s">
        <v>15</v>
      </c>
      <c r="D184" s="29" t="s">
        <v>9</v>
      </c>
      <c r="E184" s="28" t="s">
        <v>16</v>
      </c>
      <c r="F184" s="28">
        <v>115</v>
      </c>
      <c r="G184" s="30">
        <v>2712</v>
      </c>
    </row>
    <row r="185" spans="1:8">
      <c r="A185" s="27">
        <v>53</v>
      </c>
      <c r="B185" s="28" t="s">
        <v>11</v>
      </c>
      <c r="C185" s="29" t="s">
        <v>8</v>
      </c>
      <c r="D185" s="29" t="s">
        <v>9</v>
      </c>
      <c r="E185" s="28" t="s">
        <v>10</v>
      </c>
      <c r="F185" s="29">
        <v>136</v>
      </c>
      <c r="G185" s="29">
        <v>220</v>
      </c>
    </row>
    <row r="186" spans="1:8">
      <c r="A186" s="27">
        <v>56</v>
      </c>
      <c r="B186" s="28" t="s">
        <v>11</v>
      </c>
      <c r="C186" s="29" t="s">
        <v>8</v>
      </c>
      <c r="D186" s="29" t="s">
        <v>9</v>
      </c>
      <c r="E186" s="28" t="s">
        <v>10</v>
      </c>
      <c r="F186" s="29">
        <v>148</v>
      </c>
      <c r="G186" s="29">
        <v>186</v>
      </c>
    </row>
    <row r="187" spans="1:8">
      <c r="A187" s="27">
        <v>57</v>
      </c>
      <c r="B187" s="28" t="s">
        <v>11</v>
      </c>
      <c r="C187" s="29" t="s">
        <v>8</v>
      </c>
      <c r="D187" s="29" t="s">
        <v>9</v>
      </c>
      <c r="E187" s="28" t="s">
        <v>10</v>
      </c>
      <c r="F187" s="29">
        <v>152</v>
      </c>
      <c r="G187" s="29">
        <v>237</v>
      </c>
    </row>
    <row r="188" spans="1:8">
      <c r="A188" s="27">
        <v>58</v>
      </c>
      <c r="B188" s="28" t="s">
        <v>7</v>
      </c>
      <c r="C188" s="28" t="s">
        <v>15</v>
      </c>
      <c r="D188" s="29" t="s">
        <v>9</v>
      </c>
      <c r="E188" s="28" t="s">
        <v>16</v>
      </c>
      <c r="F188" s="29">
        <v>152</v>
      </c>
      <c r="G188" s="29">
        <v>2389</v>
      </c>
    </row>
    <row r="189" spans="1:8">
      <c r="A189" s="27">
        <v>61</v>
      </c>
      <c r="B189" s="28" t="s">
        <v>7</v>
      </c>
      <c r="C189" s="28" t="s">
        <v>15</v>
      </c>
      <c r="D189" s="29" t="s">
        <v>9</v>
      </c>
      <c r="E189" s="28" t="s">
        <v>16</v>
      </c>
      <c r="F189" s="28">
        <v>159</v>
      </c>
      <c r="G189" s="30">
        <v>3689</v>
      </c>
    </row>
    <row r="190" spans="1:8">
      <c r="A190" s="27">
        <v>62</v>
      </c>
      <c r="B190" s="28" t="s">
        <v>11</v>
      </c>
      <c r="C190" s="29" t="s">
        <v>8</v>
      </c>
      <c r="D190" s="29" t="s">
        <v>9</v>
      </c>
      <c r="E190" s="28" t="s">
        <v>10</v>
      </c>
      <c r="F190" s="29">
        <v>160</v>
      </c>
      <c r="G190" s="29">
        <v>242</v>
      </c>
    </row>
    <row r="191" spans="1:8">
      <c r="A191" s="27">
        <v>65</v>
      </c>
      <c r="B191" s="28" t="s">
        <v>11</v>
      </c>
      <c r="C191" s="29" t="s">
        <v>8</v>
      </c>
      <c r="D191" s="29" t="s">
        <v>9</v>
      </c>
      <c r="E191" s="28" t="s">
        <v>10</v>
      </c>
      <c r="F191" s="29">
        <v>169</v>
      </c>
      <c r="G191" s="29">
        <v>215</v>
      </c>
    </row>
    <row r="192" spans="1:8">
      <c r="A192" s="27">
        <v>66</v>
      </c>
      <c r="B192" s="28" t="s">
        <v>7</v>
      </c>
      <c r="C192" s="28" t="s">
        <v>15</v>
      </c>
      <c r="D192" s="29" t="s">
        <v>9</v>
      </c>
      <c r="E192" s="28" t="s">
        <v>16</v>
      </c>
      <c r="F192" s="29">
        <v>174</v>
      </c>
      <c r="G192" s="29">
        <v>1876</v>
      </c>
    </row>
    <row r="193" spans="1:8">
      <c r="A193" s="27">
        <v>67</v>
      </c>
      <c r="B193" s="28" t="s">
        <v>11</v>
      </c>
      <c r="C193" s="29" t="s">
        <v>8</v>
      </c>
      <c r="D193" s="29" t="s">
        <v>9</v>
      </c>
      <c r="E193" s="28" t="s">
        <v>16</v>
      </c>
      <c r="F193" s="29">
        <v>178</v>
      </c>
      <c r="G193" s="29">
        <v>290</v>
      </c>
    </row>
    <row r="194" spans="1:8">
      <c r="A194" s="27">
        <v>68</v>
      </c>
      <c r="B194" s="28" t="s">
        <v>7</v>
      </c>
      <c r="C194" s="28" t="s">
        <v>15</v>
      </c>
      <c r="D194" s="29" t="s">
        <v>9</v>
      </c>
      <c r="E194" s="28" t="s">
        <v>16</v>
      </c>
      <c r="F194" s="29">
        <v>179</v>
      </c>
      <c r="G194" s="29">
        <v>789</v>
      </c>
    </row>
    <row r="195" spans="1:8">
      <c r="A195" s="27">
        <v>69</v>
      </c>
      <c r="B195" s="28" t="s">
        <v>7</v>
      </c>
      <c r="C195" s="28" t="s">
        <v>15</v>
      </c>
      <c r="D195" s="29" t="s">
        <v>9</v>
      </c>
      <c r="E195" s="28" t="s">
        <v>16</v>
      </c>
      <c r="F195" s="29">
        <v>180</v>
      </c>
      <c r="G195" s="29">
        <v>3063</v>
      </c>
    </row>
    <row r="196" spans="1:8">
      <c r="A196" s="27">
        <v>70</v>
      </c>
      <c r="B196" s="28" t="s">
        <v>7</v>
      </c>
      <c r="C196" s="28" t="s">
        <v>15</v>
      </c>
      <c r="D196" s="29" t="s">
        <v>9</v>
      </c>
      <c r="E196" s="28" t="s">
        <v>16</v>
      </c>
      <c r="F196" s="29">
        <v>182</v>
      </c>
      <c r="G196" s="29">
        <v>2629.2</v>
      </c>
    </row>
    <row r="197" spans="1:8">
      <c r="A197" s="27">
        <v>76</v>
      </c>
      <c r="B197" s="28" t="s">
        <v>7</v>
      </c>
      <c r="C197" s="28" t="s">
        <v>15</v>
      </c>
      <c r="D197" s="29" t="s">
        <v>9</v>
      </c>
      <c r="E197" s="28" t="s">
        <v>16</v>
      </c>
      <c r="F197" s="28">
        <v>237</v>
      </c>
      <c r="G197" s="30">
        <v>3065</v>
      </c>
    </row>
    <row r="198" spans="1:8">
      <c r="A198" s="27">
        <v>77</v>
      </c>
      <c r="B198" s="28" t="s">
        <v>7</v>
      </c>
      <c r="C198" s="29" t="s">
        <v>8</v>
      </c>
      <c r="D198" s="29" t="s">
        <v>9</v>
      </c>
      <c r="E198" s="28" t="s">
        <v>16</v>
      </c>
      <c r="F198" s="29">
        <v>250</v>
      </c>
      <c r="G198" s="29">
        <v>400</v>
      </c>
    </row>
    <row r="199" spans="1:8">
      <c r="A199" s="27">
        <v>78</v>
      </c>
      <c r="B199" s="28" t="s">
        <v>7</v>
      </c>
      <c r="C199" s="28" t="s">
        <v>15</v>
      </c>
      <c r="D199" s="29" t="s">
        <v>9</v>
      </c>
      <c r="E199" s="28" t="s">
        <v>16</v>
      </c>
      <c r="F199" s="28">
        <v>297</v>
      </c>
      <c r="G199" s="30">
        <v>2684</v>
      </c>
    </row>
    <row r="200" spans="1:8">
      <c r="A200" s="27">
        <v>79</v>
      </c>
      <c r="B200" s="28" t="s">
        <v>7</v>
      </c>
      <c r="C200" s="28" t="s">
        <v>15</v>
      </c>
      <c r="D200" s="29" t="s">
        <v>9</v>
      </c>
      <c r="E200" s="28" t="s">
        <v>16</v>
      </c>
      <c r="F200" s="29">
        <v>297</v>
      </c>
      <c r="G200" s="29">
        <v>7449</v>
      </c>
    </row>
    <row r="201" spans="1:8">
      <c r="A201" s="27">
        <v>82</v>
      </c>
      <c r="B201" s="28" t="s">
        <v>7</v>
      </c>
      <c r="C201" s="28" t="s">
        <v>17</v>
      </c>
      <c r="D201" s="29" t="s">
        <v>9</v>
      </c>
      <c r="E201" s="28" t="s">
        <v>16</v>
      </c>
      <c r="F201" s="29">
        <v>443</v>
      </c>
      <c r="G201" s="29">
        <v>796</v>
      </c>
    </row>
    <row r="202" spans="1:8">
      <c r="A202" s="27">
        <v>83</v>
      </c>
      <c r="B202" s="28" t="s">
        <v>7</v>
      </c>
      <c r="C202" s="28" t="s">
        <v>15</v>
      </c>
      <c r="D202" s="29" t="s">
        <v>9</v>
      </c>
      <c r="E202" s="28" t="s">
        <v>16</v>
      </c>
      <c r="F202" s="29">
        <v>460</v>
      </c>
      <c r="G202" s="29">
        <v>1667</v>
      </c>
    </row>
    <row r="203" spans="1:8">
      <c r="A203" s="27">
        <v>84</v>
      </c>
      <c r="B203" s="28" t="s">
        <v>7</v>
      </c>
      <c r="C203" s="29" t="s">
        <v>8</v>
      </c>
      <c r="D203" s="29" t="s">
        <v>9</v>
      </c>
      <c r="E203" s="28" t="s">
        <v>16</v>
      </c>
      <c r="F203" s="29">
        <v>500</v>
      </c>
      <c r="G203" s="29">
        <v>700</v>
      </c>
    </row>
    <row r="204" spans="1:8">
      <c r="A204" s="27">
        <v>85</v>
      </c>
      <c r="B204" s="28" t="s">
        <v>7</v>
      </c>
      <c r="C204" s="28" t="s">
        <v>15</v>
      </c>
      <c r="D204" s="29" t="s">
        <v>9</v>
      </c>
      <c r="E204" s="28" t="s">
        <v>16</v>
      </c>
      <c r="F204" s="28">
        <v>500</v>
      </c>
      <c r="G204" s="30">
        <v>2510</v>
      </c>
    </row>
    <row r="205" spans="1:8">
      <c r="A205" s="27">
        <v>86</v>
      </c>
      <c r="B205" s="28" t="s">
        <v>7</v>
      </c>
      <c r="C205" s="28" t="s">
        <v>15</v>
      </c>
      <c r="D205" s="29" t="s">
        <v>9</v>
      </c>
      <c r="E205" s="28" t="s">
        <v>16</v>
      </c>
      <c r="F205" s="29">
        <v>568</v>
      </c>
      <c r="G205" s="29">
        <v>5873</v>
      </c>
      <c r="H205" s="31" t="s">
        <v>44</v>
      </c>
    </row>
    <row r="206" spans="1:8">
      <c r="A206" s="27">
        <v>87</v>
      </c>
      <c r="B206" s="28" t="s">
        <v>7</v>
      </c>
      <c r="C206" s="28" t="s">
        <v>15</v>
      </c>
      <c r="D206" s="29" t="s">
        <v>9</v>
      </c>
      <c r="E206" s="28" t="s">
        <v>16</v>
      </c>
      <c r="F206" s="29">
        <v>620</v>
      </c>
      <c r="G206" s="29">
        <v>18160</v>
      </c>
      <c r="H206" s="31" t="s">
        <v>44</v>
      </c>
    </row>
    <row r="209" spans="1:7" ht="32">
      <c r="A209" s="1" t="s">
        <v>0</v>
      </c>
      <c r="B209" s="23" t="s">
        <v>1</v>
      </c>
      <c r="C209" s="24" t="s">
        <v>2</v>
      </c>
      <c r="D209" s="24" t="s">
        <v>3</v>
      </c>
      <c r="E209" s="25" t="s">
        <v>4</v>
      </c>
      <c r="F209" s="26" t="s">
        <v>5</v>
      </c>
      <c r="G209" s="26" t="s">
        <v>6</v>
      </c>
    </row>
    <row r="210" spans="1:7">
      <c r="A210" s="27">
        <v>1</v>
      </c>
      <c r="B210" s="28" t="s">
        <v>7</v>
      </c>
      <c r="C210" s="29" t="s">
        <v>8</v>
      </c>
      <c r="D210" s="29" t="s">
        <v>9</v>
      </c>
      <c r="E210" s="28" t="s">
        <v>10</v>
      </c>
      <c r="F210" s="29">
        <v>25</v>
      </c>
      <c r="G210" s="29">
        <v>118</v>
      </c>
    </row>
    <row r="211" spans="1:7">
      <c r="A211" s="27">
        <v>5</v>
      </c>
      <c r="B211" s="28" t="s">
        <v>7</v>
      </c>
      <c r="C211" s="28" t="s">
        <v>15</v>
      </c>
      <c r="D211" s="29" t="s">
        <v>9</v>
      </c>
      <c r="E211" s="28" t="s">
        <v>16</v>
      </c>
      <c r="F211" s="29">
        <v>46</v>
      </c>
      <c r="G211" s="29">
        <v>1009</v>
      </c>
    </row>
    <row r="212" spans="1:7">
      <c r="A212" s="27">
        <v>6</v>
      </c>
      <c r="B212" s="28" t="s">
        <v>11</v>
      </c>
      <c r="C212" s="29" t="s">
        <v>8</v>
      </c>
      <c r="D212" s="29" t="s">
        <v>9</v>
      </c>
      <c r="E212" s="28" t="s">
        <v>10</v>
      </c>
      <c r="F212" s="29">
        <v>51</v>
      </c>
      <c r="G212" s="29">
        <v>52</v>
      </c>
    </row>
    <row r="213" spans="1:7">
      <c r="A213" s="27">
        <v>18</v>
      </c>
      <c r="B213" s="28" t="s">
        <v>11</v>
      </c>
      <c r="C213" s="29" t="s">
        <v>8</v>
      </c>
      <c r="D213" s="29" t="s">
        <v>9</v>
      </c>
      <c r="E213" s="28" t="s">
        <v>10</v>
      </c>
      <c r="F213" s="29">
        <v>79</v>
      </c>
      <c r="G213" s="29">
        <v>142</v>
      </c>
    </row>
    <row r="214" spans="1:7">
      <c r="A214" s="27">
        <v>20</v>
      </c>
      <c r="B214" s="28" t="s">
        <v>11</v>
      </c>
      <c r="C214" s="28" t="s">
        <v>15</v>
      </c>
      <c r="D214" s="29" t="s">
        <v>9</v>
      </c>
      <c r="E214" s="28" t="s">
        <v>10</v>
      </c>
      <c r="F214" s="28">
        <v>80</v>
      </c>
      <c r="G214" s="28">
        <v>260</v>
      </c>
    </row>
    <row r="215" spans="1:7">
      <c r="A215" s="27">
        <v>21</v>
      </c>
      <c r="B215" s="28" t="s">
        <v>7</v>
      </c>
      <c r="C215" s="28" t="s">
        <v>15</v>
      </c>
      <c r="D215" s="29" t="s">
        <v>9</v>
      </c>
      <c r="E215" s="28" t="s">
        <v>16</v>
      </c>
      <c r="F215" s="29">
        <v>80</v>
      </c>
      <c r="G215" s="29">
        <v>2879</v>
      </c>
    </row>
    <row r="216" spans="1:7">
      <c r="A216" s="27">
        <v>22</v>
      </c>
      <c r="B216" s="28" t="s">
        <v>11</v>
      </c>
      <c r="C216" s="29" t="s">
        <v>8</v>
      </c>
      <c r="D216" s="29" t="s">
        <v>9</v>
      </c>
      <c r="E216" s="28" t="s">
        <v>10</v>
      </c>
      <c r="F216" s="29">
        <v>81</v>
      </c>
      <c r="G216" s="29">
        <v>190</v>
      </c>
    </row>
    <row r="217" spans="1:7">
      <c r="A217" s="27">
        <v>25</v>
      </c>
      <c r="B217" s="28" t="s">
        <v>7</v>
      </c>
      <c r="C217" s="28" t="s">
        <v>15</v>
      </c>
      <c r="D217" s="29" t="s">
        <v>9</v>
      </c>
      <c r="E217" s="28" t="s">
        <v>16</v>
      </c>
      <c r="F217" s="29">
        <v>83</v>
      </c>
      <c r="G217" s="29">
        <v>855</v>
      </c>
    </row>
    <row r="218" spans="1:7">
      <c r="A218" s="27">
        <v>28</v>
      </c>
      <c r="B218" s="28" t="s">
        <v>11</v>
      </c>
      <c r="C218" s="29" t="s">
        <v>8</v>
      </c>
      <c r="D218" s="29" t="s">
        <v>9</v>
      </c>
      <c r="E218" s="28" t="s">
        <v>10</v>
      </c>
      <c r="F218" s="29">
        <v>87</v>
      </c>
      <c r="G218" s="29">
        <v>170</v>
      </c>
    </row>
    <row r="219" spans="1:7">
      <c r="A219" s="27">
        <v>29</v>
      </c>
      <c r="B219" s="28" t="s">
        <v>11</v>
      </c>
      <c r="C219" s="29" t="s">
        <v>8</v>
      </c>
      <c r="D219" s="29" t="s">
        <v>9</v>
      </c>
      <c r="E219" s="28" t="s">
        <v>10</v>
      </c>
      <c r="F219" s="29">
        <v>90</v>
      </c>
      <c r="G219" s="29">
        <v>189</v>
      </c>
    </row>
    <row r="220" spans="1:7">
      <c r="A220" s="27">
        <v>34</v>
      </c>
      <c r="B220" s="28" t="s">
        <v>11</v>
      </c>
      <c r="C220" s="29" t="s">
        <v>8</v>
      </c>
      <c r="D220" s="29" t="s">
        <v>9</v>
      </c>
      <c r="E220" s="28" t="s">
        <v>10</v>
      </c>
      <c r="F220" s="29">
        <v>102</v>
      </c>
      <c r="G220" s="29">
        <v>200</v>
      </c>
    </row>
    <row r="221" spans="1:7">
      <c r="A221" s="27">
        <v>42</v>
      </c>
      <c r="B221" s="28" t="s">
        <v>11</v>
      </c>
      <c r="C221" s="29" t="s">
        <v>8</v>
      </c>
      <c r="D221" s="29" t="s">
        <v>9</v>
      </c>
      <c r="E221" s="28" t="s">
        <v>16</v>
      </c>
      <c r="F221" s="29">
        <v>115</v>
      </c>
      <c r="G221" s="29">
        <v>285</v>
      </c>
    </row>
    <row r="222" spans="1:7">
      <c r="A222" s="27">
        <v>44</v>
      </c>
      <c r="B222" s="28" t="s">
        <v>7</v>
      </c>
      <c r="C222" s="28" t="s">
        <v>15</v>
      </c>
      <c r="D222" s="29" t="s">
        <v>9</v>
      </c>
      <c r="E222" s="28" t="s">
        <v>16</v>
      </c>
      <c r="F222" s="28">
        <v>115</v>
      </c>
      <c r="G222" s="30">
        <v>2712</v>
      </c>
    </row>
    <row r="223" spans="1:7">
      <c r="A223" s="27">
        <v>53</v>
      </c>
      <c r="B223" s="28" t="s">
        <v>11</v>
      </c>
      <c r="C223" s="29" t="s">
        <v>8</v>
      </c>
      <c r="D223" s="29" t="s">
        <v>9</v>
      </c>
      <c r="E223" s="28" t="s">
        <v>10</v>
      </c>
      <c r="F223" s="29">
        <v>136</v>
      </c>
      <c r="G223" s="29">
        <v>220</v>
      </c>
    </row>
    <row r="224" spans="1:7">
      <c r="A224" s="27">
        <v>56</v>
      </c>
      <c r="B224" s="28" t="s">
        <v>11</v>
      </c>
      <c r="C224" s="29" t="s">
        <v>8</v>
      </c>
      <c r="D224" s="29" t="s">
        <v>9</v>
      </c>
      <c r="E224" s="28" t="s">
        <v>10</v>
      </c>
      <c r="F224" s="29">
        <v>148</v>
      </c>
      <c r="G224" s="29">
        <v>186</v>
      </c>
    </row>
    <row r="225" spans="1:7">
      <c r="A225" s="27">
        <v>57</v>
      </c>
      <c r="B225" s="28" t="s">
        <v>11</v>
      </c>
      <c r="C225" s="29" t="s">
        <v>8</v>
      </c>
      <c r="D225" s="29" t="s">
        <v>9</v>
      </c>
      <c r="E225" s="28" t="s">
        <v>10</v>
      </c>
      <c r="F225" s="29">
        <v>152</v>
      </c>
      <c r="G225" s="29">
        <v>237</v>
      </c>
    </row>
    <row r="226" spans="1:7">
      <c r="A226" s="27">
        <v>58</v>
      </c>
      <c r="B226" s="28" t="s">
        <v>7</v>
      </c>
      <c r="C226" s="28" t="s">
        <v>15</v>
      </c>
      <c r="D226" s="29" t="s">
        <v>9</v>
      </c>
      <c r="E226" s="28" t="s">
        <v>16</v>
      </c>
      <c r="F226" s="29">
        <v>152</v>
      </c>
      <c r="G226" s="29">
        <v>2389</v>
      </c>
    </row>
    <row r="227" spans="1:7">
      <c r="A227" s="27">
        <v>61</v>
      </c>
      <c r="B227" s="28" t="s">
        <v>7</v>
      </c>
      <c r="C227" s="28" t="s">
        <v>15</v>
      </c>
      <c r="D227" s="29" t="s">
        <v>9</v>
      </c>
      <c r="E227" s="28" t="s">
        <v>16</v>
      </c>
      <c r="F227" s="28">
        <v>159</v>
      </c>
      <c r="G227" s="30">
        <v>3689</v>
      </c>
    </row>
    <row r="228" spans="1:7">
      <c r="A228" s="27">
        <v>62</v>
      </c>
      <c r="B228" s="28" t="s">
        <v>11</v>
      </c>
      <c r="C228" s="29" t="s">
        <v>8</v>
      </c>
      <c r="D228" s="29" t="s">
        <v>9</v>
      </c>
      <c r="E228" s="28" t="s">
        <v>10</v>
      </c>
      <c r="F228" s="29">
        <v>160</v>
      </c>
      <c r="G228" s="29">
        <v>242</v>
      </c>
    </row>
    <row r="229" spans="1:7">
      <c r="A229" s="27">
        <v>65</v>
      </c>
      <c r="B229" s="28" t="s">
        <v>11</v>
      </c>
      <c r="C229" s="29" t="s">
        <v>8</v>
      </c>
      <c r="D229" s="29" t="s">
        <v>9</v>
      </c>
      <c r="E229" s="28" t="s">
        <v>10</v>
      </c>
      <c r="F229" s="29">
        <v>169</v>
      </c>
      <c r="G229" s="29">
        <v>215</v>
      </c>
    </row>
    <row r="230" spans="1:7">
      <c r="A230" s="27">
        <v>66</v>
      </c>
      <c r="B230" s="28" t="s">
        <v>7</v>
      </c>
      <c r="C230" s="28" t="s">
        <v>15</v>
      </c>
      <c r="D230" s="29" t="s">
        <v>9</v>
      </c>
      <c r="E230" s="28" t="s">
        <v>16</v>
      </c>
      <c r="F230" s="29">
        <v>174</v>
      </c>
      <c r="G230" s="29">
        <v>1876</v>
      </c>
    </row>
    <row r="231" spans="1:7">
      <c r="A231" s="27">
        <v>67</v>
      </c>
      <c r="B231" s="28" t="s">
        <v>11</v>
      </c>
      <c r="C231" s="29" t="s">
        <v>8</v>
      </c>
      <c r="D231" s="29" t="s">
        <v>9</v>
      </c>
      <c r="E231" s="28" t="s">
        <v>16</v>
      </c>
      <c r="F231" s="29">
        <v>178</v>
      </c>
      <c r="G231" s="29">
        <v>290</v>
      </c>
    </row>
    <row r="232" spans="1:7">
      <c r="A232" s="27">
        <v>68</v>
      </c>
      <c r="B232" s="28" t="s">
        <v>7</v>
      </c>
      <c r="C232" s="28" t="s">
        <v>15</v>
      </c>
      <c r="D232" s="29" t="s">
        <v>9</v>
      </c>
      <c r="E232" s="28" t="s">
        <v>16</v>
      </c>
      <c r="F232" s="29">
        <v>179</v>
      </c>
      <c r="G232" s="29">
        <v>789</v>
      </c>
    </row>
    <row r="233" spans="1:7">
      <c r="A233" s="27">
        <v>69</v>
      </c>
      <c r="B233" s="28" t="s">
        <v>7</v>
      </c>
      <c r="C233" s="28" t="s">
        <v>15</v>
      </c>
      <c r="D233" s="29" t="s">
        <v>9</v>
      </c>
      <c r="E233" s="28" t="s">
        <v>16</v>
      </c>
      <c r="F233" s="29">
        <v>180</v>
      </c>
      <c r="G233" s="29">
        <v>3063</v>
      </c>
    </row>
    <row r="234" spans="1:7">
      <c r="A234" s="27">
        <v>70</v>
      </c>
      <c r="B234" s="28" t="s">
        <v>7</v>
      </c>
      <c r="C234" s="28" t="s">
        <v>15</v>
      </c>
      <c r="D234" s="29" t="s">
        <v>9</v>
      </c>
      <c r="E234" s="28" t="s">
        <v>16</v>
      </c>
      <c r="F234" s="29">
        <v>182</v>
      </c>
      <c r="G234" s="29">
        <v>2629.2</v>
      </c>
    </row>
    <row r="235" spans="1:7">
      <c r="A235" s="27">
        <v>76</v>
      </c>
      <c r="B235" s="28" t="s">
        <v>7</v>
      </c>
      <c r="C235" s="28" t="s">
        <v>15</v>
      </c>
      <c r="D235" s="29" t="s">
        <v>9</v>
      </c>
      <c r="E235" s="28" t="s">
        <v>16</v>
      </c>
      <c r="F235" s="28">
        <v>237</v>
      </c>
      <c r="G235" s="30">
        <v>3065</v>
      </c>
    </row>
    <row r="236" spans="1:7">
      <c r="A236" s="27">
        <v>77</v>
      </c>
      <c r="B236" s="28" t="s">
        <v>7</v>
      </c>
      <c r="C236" s="29" t="s">
        <v>8</v>
      </c>
      <c r="D236" s="29" t="s">
        <v>9</v>
      </c>
      <c r="E236" s="28" t="s">
        <v>16</v>
      </c>
      <c r="F236" s="29">
        <v>250</v>
      </c>
      <c r="G236" s="29">
        <v>400</v>
      </c>
    </row>
    <row r="237" spans="1:7">
      <c r="A237" s="27">
        <v>78</v>
      </c>
      <c r="B237" s="28" t="s">
        <v>7</v>
      </c>
      <c r="C237" s="28" t="s">
        <v>15</v>
      </c>
      <c r="D237" s="29" t="s">
        <v>9</v>
      </c>
      <c r="E237" s="28" t="s">
        <v>16</v>
      </c>
      <c r="F237" s="28">
        <v>297</v>
      </c>
      <c r="G237" s="30">
        <v>2684</v>
      </c>
    </row>
    <row r="238" spans="1:7">
      <c r="A238" s="27">
        <v>79</v>
      </c>
      <c r="B238" s="28" t="s">
        <v>7</v>
      </c>
      <c r="C238" s="28" t="s">
        <v>15</v>
      </c>
      <c r="D238" s="29" t="s">
        <v>9</v>
      </c>
      <c r="E238" s="28" t="s">
        <v>16</v>
      </c>
      <c r="F238" s="29">
        <v>297</v>
      </c>
      <c r="G238" s="29">
        <v>7449</v>
      </c>
    </row>
    <row r="239" spans="1:7">
      <c r="A239" s="27">
        <v>82</v>
      </c>
      <c r="B239" s="28" t="s">
        <v>7</v>
      </c>
      <c r="C239" s="28" t="s">
        <v>17</v>
      </c>
      <c r="D239" s="29" t="s">
        <v>9</v>
      </c>
      <c r="E239" s="28" t="s">
        <v>16</v>
      </c>
      <c r="F239" s="29">
        <v>443</v>
      </c>
      <c r="G239" s="29">
        <v>796</v>
      </c>
    </row>
    <row r="240" spans="1:7">
      <c r="A240" s="27">
        <v>83</v>
      </c>
      <c r="B240" s="28" t="s">
        <v>7</v>
      </c>
      <c r="C240" s="28" t="s">
        <v>15</v>
      </c>
      <c r="D240" s="29" t="s">
        <v>9</v>
      </c>
      <c r="E240" s="28" t="s">
        <v>16</v>
      </c>
      <c r="F240" s="29">
        <v>460</v>
      </c>
      <c r="G240" s="29">
        <v>1667</v>
      </c>
    </row>
    <row r="241" spans="1:7">
      <c r="A241" s="27">
        <v>84</v>
      </c>
      <c r="B241" s="28" t="s">
        <v>7</v>
      </c>
      <c r="C241" s="29" t="s">
        <v>8</v>
      </c>
      <c r="D241" s="29" t="s">
        <v>9</v>
      </c>
      <c r="E241" s="28" t="s">
        <v>16</v>
      </c>
      <c r="F241" s="29">
        <v>500</v>
      </c>
      <c r="G241" s="29">
        <v>700</v>
      </c>
    </row>
    <row r="242" spans="1:7">
      <c r="A242" s="27">
        <v>85</v>
      </c>
      <c r="B242" s="28" t="s">
        <v>7</v>
      </c>
      <c r="C242" s="28" t="s">
        <v>15</v>
      </c>
      <c r="D242" s="29" t="s">
        <v>9</v>
      </c>
      <c r="E242" s="28" t="s">
        <v>16</v>
      </c>
      <c r="F242" s="28">
        <v>500</v>
      </c>
      <c r="G242" s="30">
        <v>2510</v>
      </c>
    </row>
    <row r="244" spans="1:7">
      <c r="A244" t="s">
        <v>28</v>
      </c>
    </row>
    <row r="245" spans="1:7" ht="20">
      <c r="A245" s="13" t="s">
        <v>29</v>
      </c>
    </row>
    <row r="246" spans="1:7" ht="17">
      <c r="A246" s="14" t="s">
        <v>30</v>
      </c>
      <c r="B246" s="14" t="s">
        <v>6</v>
      </c>
      <c r="C246" s="14"/>
      <c r="D246" s="14"/>
      <c r="E246" s="14"/>
      <c r="F246" s="14"/>
      <c r="G246" s="14"/>
    </row>
    <row r="247" spans="1:7" ht="17">
      <c r="A247" s="14">
        <v>29</v>
      </c>
      <c r="B247" s="14">
        <v>7449</v>
      </c>
      <c r="C247" s="14"/>
      <c r="D247" s="14"/>
      <c r="E247" s="14"/>
      <c r="F247" s="14"/>
      <c r="G247" s="14"/>
    </row>
    <row r="248" spans="1:7" ht="17">
      <c r="A248" s="14">
        <v>32</v>
      </c>
      <c r="B248" s="14">
        <v>700</v>
      </c>
      <c r="C248" s="14"/>
      <c r="D248" s="14"/>
      <c r="E248" s="14"/>
      <c r="F248" s="14"/>
      <c r="G248" s="14"/>
    </row>
    <row r="249" spans="1:7" ht="17">
      <c r="A249" s="14">
        <v>33</v>
      </c>
      <c r="B249" s="14">
        <v>2510</v>
      </c>
      <c r="C249" s="14"/>
      <c r="D249" s="14"/>
      <c r="E249" s="14"/>
      <c r="F249" s="14"/>
      <c r="G249" s="14"/>
    </row>
    <row r="250" spans="1:7" ht="17">
      <c r="A250" s="16"/>
    </row>
    <row r="252" spans="1:7" ht="32">
      <c r="A252" s="1" t="s">
        <v>0</v>
      </c>
      <c r="B252" s="23" t="s">
        <v>1</v>
      </c>
      <c r="C252" s="24" t="s">
        <v>2</v>
      </c>
      <c r="D252" s="24" t="s">
        <v>3</v>
      </c>
      <c r="E252" s="25" t="s">
        <v>4</v>
      </c>
      <c r="F252" s="26" t="s">
        <v>5</v>
      </c>
      <c r="G252" s="26" t="s">
        <v>6</v>
      </c>
    </row>
    <row r="253" spans="1:7">
      <c r="A253" s="27">
        <v>1</v>
      </c>
      <c r="B253" s="28" t="s">
        <v>7</v>
      </c>
      <c r="C253" s="29" t="s">
        <v>8</v>
      </c>
      <c r="D253" s="29" t="s">
        <v>9</v>
      </c>
      <c r="E253" s="28" t="s">
        <v>10</v>
      </c>
      <c r="F253" s="29">
        <v>25</v>
      </c>
      <c r="G253" s="29">
        <v>118</v>
      </c>
    </row>
    <row r="254" spans="1:7">
      <c r="A254" s="27">
        <v>5</v>
      </c>
      <c r="B254" s="28" t="s">
        <v>7</v>
      </c>
      <c r="C254" s="28" t="s">
        <v>15</v>
      </c>
      <c r="D254" s="29" t="s">
        <v>9</v>
      </c>
      <c r="E254" s="28" t="s">
        <v>16</v>
      </c>
      <c r="F254" s="29">
        <v>46</v>
      </c>
      <c r="G254" s="29">
        <v>1009</v>
      </c>
    </row>
    <row r="255" spans="1:7">
      <c r="A255" s="27">
        <v>6</v>
      </c>
      <c r="B255" s="28" t="s">
        <v>11</v>
      </c>
      <c r="C255" s="29" t="s">
        <v>8</v>
      </c>
      <c r="D255" s="29" t="s">
        <v>9</v>
      </c>
      <c r="E255" s="28" t="s">
        <v>10</v>
      </c>
      <c r="F255" s="29">
        <v>51</v>
      </c>
      <c r="G255" s="29">
        <v>52</v>
      </c>
    </row>
    <row r="256" spans="1:7">
      <c r="A256" s="27">
        <v>18</v>
      </c>
      <c r="B256" s="28" t="s">
        <v>11</v>
      </c>
      <c r="C256" s="29" t="s">
        <v>8</v>
      </c>
      <c r="D256" s="29" t="s">
        <v>9</v>
      </c>
      <c r="E256" s="28" t="s">
        <v>10</v>
      </c>
      <c r="F256" s="29">
        <v>79</v>
      </c>
      <c r="G256" s="29">
        <v>142</v>
      </c>
    </row>
    <row r="257" spans="1:7">
      <c r="A257" s="27">
        <v>20</v>
      </c>
      <c r="B257" s="28" t="s">
        <v>11</v>
      </c>
      <c r="C257" s="28" t="s">
        <v>15</v>
      </c>
      <c r="D257" s="29" t="s">
        <v>9</v>
      </c>
      <c r="E257" s="28" t="s">
        <v>10</v>
      </c>
      <c r="F257" s="28">
        <v>80</v>
      </c>
      <c r="G257" s="28">
        <v>260</v>
      </c>
    </row>
    <row r="258" spans="1:7">
      <c r="A258" s="27">
        <v>21</v>
      </c>
      <c r="B258" s="28" t="s">
        <v>7</v>
      </c>
      <c r="C258" s="28" t="s">
        <v>15</v>
      </c>
      <c r="D258" s="29" t="s">
        <v>9</v>
      </c>
      <c r="E258" s="28" t="s">
        <v>16</v>
      </c>
      <c r="F258" s="29">
        <v>80</v>
      </c>
      <c r="G258" s="29">
        <v>2879</v>
      </c>
    </row>
    <row r="259" spans="1:7">
      <c r="A259" s="27">
        <v>22</v>
      </c>
      <c r="B259" s="28" t="s">
        <v>11</v>
      </c>
      <c r="C259" s="29" t="s">
        <v>8</v>
      </c>
      <c r="D259" s="29" t="s">
        <v>9</v>
      </c>
      <c r="E259" s="28" t="s">
        <v>10</v>
      </c>
      <c r="F259" s="29">
        <v>81</v>
      </c>
      <c r="G259" s="29">
        <v>190</v>
      </c>
    </row>
    <row r="260" spans="1:7">
      <c r="A260" s="27">
        <v>25</v>
      </c>
      <c r="B260" s="28" t="s">
        <v>7</v>
      </c>
      <c r="C260" s="28" t="s">
        <v>15</v>
      </c>
      <c r="D260" s="29" t="s">
        <v>9</v>
      </c>
      <c r="E260" s="28" t="s">
        <v>16</v>
      </c>
      <c r="F260" s="29">
        <v>83</v>
      </c>
      <c r="G260" s="29">
        <v>855</v>
      </c>
    </row>
    <row r="261" spans="1:7">
      <c r="A261" s="27">
        <v>28</v>
      </c>
      <c r="B261" s="28" t="s">
        <v>11</v>
      </c>
      <c r="C261" s="29" t="s">
        <v>8</v>
      </c>
      <c r="D261" s="29" t="s">
        <v>9</v>
      </c>
      <c r="E261" s="28" t="s">
        <v>10</v>
      </c>
      <c r="F261" s="29">
        <v>87</v>
      </c>
      <c r="G261" s="29">
        <v>170</v>
      </c>
    </row>
    <row r="262" spans="1:7">
      <c r="A262" s="27">
        <v>29</v>
      </c>
      <c r="B262" s="28" t="s">
        <v>11</v>
      </c>
      <c r="C262" s="29" t="s">
        <v>8</v>
      </c>
      <c r="D262" s="29" t="s">
        <v>9</v>
      </c>
      <c r="E262" s="28" t="s">
        <v>10</v>
      </c>
      <c r="F262" s="29">
        <v>90</v>
      </c>
      <c r="G262" s="29">
        <v>189</v>
      </c>
    </row>
    <row r="263" spans="1:7">
      <c r="A263" s="27">
        <v>34</v>
      </c>
      <c r="B263" s="28" t="s">
        <v>11</v>
      </c>
      <c r="C263" s="29" t="s">
        <v>8</v>
      </c>
      <c r="D263" s="29" t="s">
        <v>9</v>
      </c>
      <c r="E263" s="28" t="s">
        <v>10</v>
      </c>
      <c r="F263" s="29">
        <v>102</v>
      </c>
      <c r="G263" s="29">
        <v>200</v>
      </c>
    </row>
    <row r="264" spans="1:7">
      <c r="A264" s="27">
        <v>42</v>
      </c>
      <c r="B264" s="28" t="s">
        <v>11</v>
      </c>
      <c r="C264" s="29" t="s">
        <v>8</v>
      </c>
      <c r="D264" s="29" t="s">
        <v>9</v>
      </c>
      <c r="E264" s="28" t="s">
        <v>16</v>
      </c>
      <c r="F264" s="29">
        <v>115</v>
      </c>
      <c r="G264" s="29">
        <v>285</v>
      </c>
    </row>
    <row r="265" spans="1:7">
      <c r="A265" s="27">
        <v>44</v>
      </c>
      <c r="B265" s="28" t="s">
        <v>7</v>
      </c>
      <c r="C265" s="28" t="s">
        <v>15</v>
      </c>
      <c r="D265" s="29" t="s">
        <v>9</v>
      </c>
      <c r="E265" s="28" t="s">
        <v>16</v>
      </c>
      <c r="F265" s="28">
        <v>115</v>
      </c>
      <c r="G265" s="30">
        <v>2712</v>
      </c>
    </row>
    <row r="266" spans="1:7">
      <c r="A266" s="27">
        <v>53</v>
      </c>
      <c r="B266" s="28" t="s">
        <v>11</v>
      </c>
      <c r="C266" s="29" t="s">
        <v>8</v>
      </c>
      <c r="D266" s="29" t="s">
        <v>9</v>
      </c>
      <c r="E266" s="28" t="s">
        <v>10</v>
      </c>
      <c r="F266" s="29">
        <v>136</v>
      </c>
      <c r="G266" s="29">
        <v>220</v>
      </c>
    </row>
    <row r="267" spans="1:7">
      <c r="A267" s="27">
        <v>56</v>
      </c>
      <c r="B267" s="28" t="s">
        <v>11</v>
      </c>
      <c r="C267" s="29" t="s">
        <v>8</v>
      </c>
      <c r="D267" s="29" t="s">
        <v>9</v>
      </c>
      <c r="E267" s="28" t="s">
        <v>10</v>
      </c>
      <c r="F267" s="29">
        <v>148</v>
      </c>
      <c r="G267" s="29">
        <v>186</v>
      </c>
    </row>
    <row r="268" spans="1:7">
      <c r="A268" s="27">
        <v>57</v>
      </c>
      <c r="B268" s="28" t="s">
        <v>11</v>
      </c>
      <c r="C268" s="29" t="s">
        <v>8</v>
      </c>
      <c r="D268" s="29" t="s">
        <v>9</v>
      </c>
      <c r="E268" s="28" t="s">
        <v>10</v>
      </c>
      <c r="F268" s="29">
        <v>152</v>
      </c>
      <c r="G268" s="29">
        <v>237</v>
      </c>
    </row>
    <row r="269" spans="1:7">
      <c r="A269" s="27">
        <v>58</v>
      </c>
      <c r="B269" s="28" t="s">
        <v>7</v>
      </c>
      <c r="C269" s="28" t="s">
        <v>15</v>
      </c>
      <c r="D269" s="29" t="s">
        <v>9</v>
      </c>
      <c r="E269" s="28" t="s">
        <v>16</v>
      </c>
      <c r="F269" s="29">
        <v>152</v>
      </c>
      <c r="G269" s="29">
        <v>2389</v>
      </c>
    </row>
    <row r="270" spans="1:7">
      <c r="A270" s="27">
        <v>61</v>
      </c>
      <c r="B270" s="28" t="s">
        <v>7</v>
      </c>
      <c r="C270" s="28" t="s">
        <v>15</v>
      </c>
      <c r="D270" s="29" t="s">
        <v>9</v>
      </c>
      <c r="E270" s="28" t="s">
        <v>16</v>
      </c>
      <c r="F270" s="28">
        <v>159</v>
      </c>
      <c r="G270" s="30">
        <v>3689</v>
      </c>
    </row>
    <row r="271" spans="1:7">
      <c r="A271" s="27">
        <v>62</v>
      </c>
      <c r="B271" s="28" t="s">
        <v>11</v>
      </c>
      <c r="C271" s="29" t="s">
        <v>8</v>
      </c>
      <c r="D271" s="29" t="s">
        <v>9</v>
      </c>
      <c r="E271" s="28" t="s">
        <v>10</v>
      </c>
      <c r="F271" s="29">
        <v>160</v>
      </c>
      <c r="G271" s="29">
        <v>242</v>
      </c>
    </row>
    <row r="272" spans="1:7">
      <c r="A272" s="27">
        <v>65</v>
      </c>
      <c r="B272" s="28" t="s">
        <v>11</v>
      </c>
      <c r="C272" s="29" t="s">
        <v>8</v>
      </c>
      <c r="D272" s="29" t="s">
        <v>9</v>
      </c>
      <c r="E272" s="28" t="s">
        <v>10</v>
      </c>
      <c r="F272" s="29">
        <v>169</v>
      </c>
      <c r="G272" s="29">
        <v>215</v>
      </c>
    </row>
    <row r="273" spans="1:8">
      <c r="A273" s="27">
        <v>66</v>
      </c>
      <c r="B273" s="28" t="s">
        <v>7</v>
      </c>
      <c r="C273" s="28" t="s">
        <v>15</v>
      </c>
      <c r="D273" s="29" t="s">
        <v>9</v>
      </c>
      <c r="E273" s="28" t="s">
        <v>16</v>
      </c>
      <c r="F273" s="29">
        <v>174</v>
      </c>
      <c r="G273" s="29">
        <v>1876</v>
      </c>
    </row>
    <row r="274" spans="1:8">
      <c r="A274" s="27">
        <v>67</v>
      </c>
      <c r="B274" s="28" t="s">
        <v>11</v>
      </c>
      <c r="C274" s="29" t="s">
        <v>8</v>
      </c>
      <c r="D274" s="29" t="s">
        <v>9</v>
      </c>
      <c r="E274" s="28" t="s">
        <v>16</v>
      </c>
      <c r="F274" s="29">
        <v>178</v>
      </c>
      <c r="G274" s="29">
        <v>290</v>
      </c>
    </row>
    <row r="275" spans="1:8">
      <c r="A275" s="27">
        <v>68</v>
      </c>
      <c r="B275" s="28" t="s">
        <v>7</v>
      </c>
      <c r="C275" s="28" t="s">
        <v>15</v>
      </c>
      <c r="D275" s="29" t="s">
        <v>9</v>
      </c>
      <c r="E275" s="28" t="s">
        <v>16</v>
      </c>
      <c r="F275" s="29">
        <v>179</v>
      </c>
      <c r="G275" s="29">
        <v>789</v>
      </c>
    </row>
    <row r="276" spans="1:8">
      <c r="A276" s="27">
        <v>69</v>
      </c>
      <c r="B276" s="28" t="s">
        <v>7</v>
      </c>
      <c r="C276" s="28" t="s">
        <v>15</v>
      </c>
      <c r="D276" s="29" t="s">
        <v>9</v>
      </c>
      <c r="E276" s="28" t="s">
        <v>16</v>
      </c>
      <c r="F276" s="29">
        <v>180</v>
      </c>
      <c r="G276" s="29">
        <v>3063</v>
      </c>
    </row>
    <row r="277" spans="1:8">
      <c r="A277" s="27">
        <v>70</v>
      </c>
      <c r="B277" s="28" t="s">
        <v>7</v>
      </c>
      <c r="C277" s="28" t="s">
        <v>15</v>
      </c>
      <c r="D277" s="29" t="s">
        <v>9</v>
      </c>
      <c r="E277" s="28" t="s">
        <v>16</v>
      </c>
      <c r="F277" s="29">
        <v>182</v>
      </c>
      <c r="G277" s="29">
        <v>2629.2</v>
      </c>
    </row>
    <row r="278" spans="1:8">
      <c r="A278" s="27">
        <v>76</v>
      </c>
      <c r="B278" s="28" t="s">
        <v>7</v>
      </c>
      <c r="C278" s="28" t="s">
        <v>15</v>
      </c>
      <c r="D278" s="29" t="s">
        <v>9</v>
      </c>
      <c r="E278" s="28" t="s">
        <v>16</v>
      </c>
      <c r="F278" s="28">
        <v>237</v>
      </c>
      <c r="G278" s="30">
        <v>3065</v>
      </c>
    </row>
    <row r="279" spans="1:8">
      <c r="A279" s="27">
        <v>77</v>
      </c>
      <c r="B279" s="28" t="s">
        <v>7</v>
      </c>
      <c r="C279" s="29" t="s">
        <v>8</v>
      </c>
      <c r="D279" s="29" t="s">
        <v>9</v>
      </c>
      <c r="E279" s="28" t="s">
        <v>16</v>
      </c>
      <c r="F279" s="29">
        <v>250</v>
      </c>
      <c r="G279" s="29">
        <v>400</v>
      </c>
    </row>
    <row r="280" spans="1:8">
      <c r="A280" s="27">
        <v>78</v>
      </c>
      <c r="B280" s="28" t="s">
        <v>7</v>
      </c>
      <c r="C280" s="28" t="s">
        <v>15</v>
      </c>
      <c r="D280" s="29" t="s">
        <v>9</v>
      </c>
      <c r="E280" s="28" t="s">
        <v>16</v>
      </c>
      <c r="F280" s="28">
        <v>297</v>
      </c>
      <c r="G280" s="30">
        <v>2684</v>
      </c>
    </row>
    <row r="281" spans="1:8">
      <c r="A281" s="27">
        <v>79</v>
      </c>
      <c r="B281" s="28" t="s">
        <v>7</v>
      </c>
      <c r="C281" s="28" t="s">
        <v>15</v>
      </c>
      <c r="D281" s="29" t="s">
        <v>9</v>
      </c>
      <c r="E281" s="28" t="s">
        <v>16</v>
      </c>
      <c r="F281" s="29">
        <v>297</v>
      </c>
      <c r="G281" s="29">
        <v>7449</v>
      </c>
      <c r="H281" s="31" t="s">
        <v>44</v>
      </c>
    </row>
    <row r="282" spans="1:8">
      <c r="A282" s="27">
        <v>82</v>
      </c>
      <c r="B282" s="28" t="s">
        <v>7</v>
      </c>
      <c r="C282" s="28" t="s">
        <v>17</v>
      </c>
      <c r="D282" s="29" t="s">
        <v>9</v>
      </c>
      <c r="E282" s="28" t="s">
        <v>16</v>
      </c>
      <c r="F282" s="29">
        <v>443</v>
      </c>
      <c r="G282" s="29">
        <v>796</v>
      </c>
    </row>
    <row r="283" spans="1:8">
      <c r="A283" s="27">
        <v>83</v>
      </c>
      <c r="B283" s="28" t="s">
        <v>7</v>
      </c>
      <c r="C283" s="28" t="s">
        <v>15</v>
      </c>
      <c r="D283" s="29" t="s">
        <v>9</v>
      </c>
      <c r="E283" s="28" t="s">
        <v>16</v>
      </c>
      <c r="F283" s="29">
        <v>460</v>
      </c>
      <c r="G283" s="29">
        <v>1667</v>
      </c>
    </row>
    <row r="284" spans="1:8">
      <c r="A284" s="27">
        <v>84</v>
      </c>
      <c r="B284" s="28" t="s">
        <v>7</v>
      </c>
      <c r="C284" s="29" t="s">
        <v>8</v>
      </c>
      <c r="D284" s="29" t="s">
        <v>9</v>
      </c>
      <c r="E284" s="28" t="s">
        <v>16</v>
      </c>
      <c r="F284" s="29">
        <v>500</v>
      </c>
      <c r="G284" s="29">
        <v>700</v>
      </c>
      <c r="H284" s="31" t="s">
        <v>44</v>
      </c>
    </row>
    <row r="285" spans="1:8">
      <c r="A285" s="27">
        <v>85</v>
      </c>
      <c r="B285" s="28" t="s">
        <v>7</v>
      </c>
      <c r="C285" s="28" t="s">
        <v>15</v>
      </c>
      <c r="D285" s="29" t="s">
        <v>9</v>
      </c>
      <c r="E285" s="28" t="s">
        <v>16</v>
      </c>
      <c r="F285" s="28">
        <v>500</v>
      </c>
      <c r="G285" s="30">
        <v>2510</v>
      </c>
      <c r="H285" s="31" t="s">
        <v>44</v>
      </c>
    </row>
    <row r="288" spans="1:8" ht="32">
      <c r="A288" s="1" t="s">
        <v>0</v>
      </c>
      <c r="B288" s="23" t="s">
        <v>1</v>
      </c>
      <c r="C288" s="24" t="s">
        <v>2</v>
      </c>
      <c r="D288" s="24" t="s">
        <v>3</v>
      </c>
      <c r="E288" s="25" t="s">
        <v>4</v>
      </c>
      <c r="F288" s="26" t="s">
        <v>5</v>
      </c>
      <c r="G288" s="26" t="s">
        <v>6</v>
      </c>
    </row>
    <row r="289" spans="1:7">
      <c r="A289" s="27">
        <v>1</v>
      </c>
      <c r="B289" s="28" t="s">
        <v>7</v>
      </c>
      <c r="C289" s="29" t="s">
        <v>8</v>
      </c>
      <c r="D289" s="29" t="s">
        <v>9</v>
      </c>
      <c r="E289" s="28" t="s">
        <v>10</v>
      </c>
      <c r="F289" s="29">
        <v>25</v>
      </c>
      <c r="G289" s="29">
        <v>118</v>
      </c>
    </row>
    <row r="290" spans="1:7">
      <c r="A290" s="27">
        <v>5</v>
      </c>
      <c r="B290" s="28" t="s">
        <v>7</v>
      </c>
      <c r="C290" s="28" t="s">
        <v>15</v>
      </c>
      <c r="D290" s="29" t="s">
        <v>9</v>
      </c>
      <c r="E290" s="28" t="s">
        <v>16</v>
      </c>
      <c r="F290" s="29">
        <v>46</v>
      </c>
      <c r="G290" s="29">
        <v>1009</v>
      </c>
    </row>
    <row r="291" spans="1:7">
      <c r="A291" s="27">
        <v>6</v>
      </c>
      <c r="B291" s="28" t="s">
        <v>11</v>
      </c>
      <c r="C291" s="29" t="s">
        <v>8</v>
      </c>
      <c r="D291" s="29" t="s">
        <v>9</v>
      </c>
      <c r="E291" s="28" t="s">
        <v>10</v>
      </c>
      <c r="F291" s="29">
        <v>51</v>
      </c>
      <c r="G291" s="29">
        <v>52</v>
      </c>
    </row>
    <row r="292" spans="1:7">
      <c r="A292" s="27">
        <v>18</v>
      </c>
      <c r="B292" s="28" t="s">
        <v>11</v>
      </c>
      <c r="C292" s="29" t="s">
        <v>8</v>
      </c>
      <c r="D292" s="29" t="s">
        <v>9</v>
      </c>
      <c r="E292" s="28" t="s">
        <v>10</v>
      </c>
      <c r="F292" s="29">
        <v>79</v>
      </c>
      <c r="G292" s="29">
        <v>142</v>
      </c>
    </row>
    <row r="293" spans="1:7">
      <c r="A293" s="27">
        <v>20</v>
      </c>
      <c r="B293" s="28" t="s">
        <v>11</v>
      </c>
      <c r="C293" s="28" t="s">
        <v>15</v>
      </c>
      <c r="D293" s="29" t="s">
        <v>9</v>
      </c>
      <c r="E293" s="28" t="s">
        <v>10</v>
      </c>
      <c r="F293" s="28">
        <v>80</v>
      </c>
      <c r="G293" s="28">
        <v>260</v>
      </c>
    </row>
    <row r="294" spans="1:7">
      <c r="A294" s="27">
        <v>21</v>
      </c>
      <c r="B294" s="28" t="s">
        <v>7</v>
      </c>
      <c r="C294" s="28" t="s">
        <v>15</v>
      </c>
      <c r="D294" s="29" t="s">
        <v>9</v>
      </c>
      <c r="E294" s="28" t="s">
        <v>16</v>
      </c>
      <c r="F294" s="29">
        <v>80</v>
      </c>
      <c r="G294" s="29">
        <v>2879</v>
      </c>
    </row>
    <row r="295" spans="1:7">
      <c r="A295" s="27">
        <v>22</v>
      </c>
      <c r="B295" s="28" t="s">
        <v>11</v>
      </c>
      <c r="C295" s="29" t="s">
        <v>8</v>
      </c>
      <c r="D295" s="29" t="s">
        <v>9</v>
      </c>
      <c r="E295" s="28" t="s">
        <v>10</v>
      </c>
      <c r="F295" s="29">
        <v>81</v>
      </c>
      <c r="G295" s="29">
        <v>190</v>
      </c>
    </row>
    <row r="296" spans="1:7">
      <c r="A296" s="27">
        <v>25</v>
      </c>
      <c r="B296" s="28" t="s">
        <v>7</v>
      </c>
      <c r="C296" s="28" t="s">
        <v>15</v>
      </c>
      <c r="D296" s="29" t="s">
        <v>9</v>
      </c>
      <c r="E296" s="28" t="s">
        <v>16</v>
      </c>
      <c r="F296" s="29">
        <v>83</v>
      </c>
      <c r="G296" s="29">
        <v>855</v>
      </c>
    </row>
    <row r="297" spans="1:7">
      <c r="A297" s="27">
        <v>28</v>
      </c>
      <c r="B297" s="28" t="s">
        <v>11</v>
      </c>
      <c r="C297" s="29" t="s">
        <v>8</v>
      </c>
      <c r="D297" s="29" t="s">
        <v>9</v>
      </c>
      <c r="E297" s="28" t="s">
        <v>10</v>
      </c>
      <c r="F297" s="29">
        <v>87</v>
      </c>
      <c r="G297" s="29">
        <v>170</v>
      </c>
    </row>
    <row r="298" spans="1:7">
      <c r="A298" s="27">
        <v>29</v>
      </c>
      <c r="B298" s="28" t="s">
        <v>11</v>
      </c>
      <c r="C298" s="29" t="s">
        <v>8</v>
      </c>
      <c r="D298" s="29" t="s">
        <v>9</v>
      </c>
      <c r="E298" s="28" t="s">
        <v>10</v>
      </c>
      <c r="F298" s="29">
        <v>90</v>
      </c>
      <c r="G298" s="29">
        <v>189</v>
      </c>
    </row>
    <row r="299" spans="1:7">
      <c r="A299" s="27">
        <v>34</v>
      </c>
      <c r="B299" s="28" t="s">
        <v>11</v>
      </c>
      <c r="C299" s="29" t="s">
        <v>8</v>
      </c>
      <c r="D299" s="29" t="s">
        <v>9</v>
      </c>
      <c r="E299" s="28" t="s">
        <v>10</v>
      </c>
      <c r="F299" s="29">
        <v>102</v>
      </c>
      <c r="G299" s="29">
        <v>200</v>
      </c>
    </row>
    <row r="300" spans="1:7">
      <c r="A300" s="27">
        <v>42</v>
      </c>
      <c r="B300" s="28" t="s">
        <v>11</v>
      </c>
      <c r="C300" s="29" t="s">
        <v>8</v>
      </c>
      <c r="D300" s="29" t="s">
        <v>9</v>
      </c>
      <c r="E300" s="28" t="s">
        <v>16</v>
      </c>
      <c r="F300" s="29">
        <v>115</v>
      </c>
      <c r="G300" s="29">
        <v>285</v>
      </c>
    </row>
    <row r="301" spans="1:7">
      <c r="A301" s="27">
        <v>44</v>
      </c>
      <c r="B301" s="28" t="s">
        <v>7</v>
      </c>
      <c r="C301" s="28" t="s">
        <v>15</v>
      </c>
      <c r="D301" s="29" t="s">
        <v>9</v>
      </c>
      <c r="E301" s="28" t="s">
        <v>16</v>
      </c>
      <c r="F301" s="28">
        <v>115</v>
      </c>
      <c r="G301" s="30">
        <v>2712</v>
      </c>
    </row>
    <row r="302" spans="1:7">
      <c r="A302" s="27">
        <v>53</v>
      </c>
      <c r="B302" s="28" t="s">
        <v>11</v>
      </c>
      <c r="C302" s="29" t="s">
        <v>8</v>
      </c>
      <c r="D302" s="29" t="s">
        <v>9</v>
      </c>
      <c r="E302" s="28" t="s">
        <v>10</v>
      </c>
      <c r="F302" s="29">
        <v>136</v>
      </c>
      <c r="G302" s="29">
        <v>220</v>
      </c>
    </row>
    <row r="303" spans="1:7">
      <c r="A303" s="27">
        <v>56</v>
      </c>
      <c r="B303" s="28" t="s">
        <v>11</v>
      </c>
      <c r="C303" s="29" t="s">
        <v>8</v>
      </c>
      <c r="D303" s="29" t="s">
        <v>9</v>
      </c>
      <c r="E303" s="28" t="s">
        <v>10</v>
      </c>
      <c r="F303" s="29">
        <v>148</v>
      </c>
      <c r="G303" s="29">
        <v>186</v>
      </c>
    </row>
    <row r="304" spans="1:7">
      <c r="A304" s="27">
        <v>57</v>
      </c>
      <c r="B304" s="28" t="s">
        <v>11</v>
      </c>
      <c r="C304" s="29" t="s">
        <v>8</v>
      </c>
      <c r="D304" s="29" t="s">
        <v>9</v>
      </c>
      <c r="E304" s="28" t="s">
        <v>10</v>
      </c>
      <c r="F304" s="29">
        <v>152</v>
      </c>
      <c r="G304" s="29">
        <v>237</v>
      </c>
    </row>
    <row r="305" spans="1:7">
      <c r="A305" s="27">
        <v>58</v>
      </c>
      <c r="B305" s="28" t="s">
        <v>7</v>
      </c>
      <c r="C305" s="28" t="s">
        <v>15</v>
      </c>
      <c r="D305" s="29" t="s">
        <v>9</v>
      </c>
      <c r="E305" s="28" t="s">
        <v>16</v>
      </c>
      <c r="F305" s="29">
        <v>152</v>
      </c>
      <c r="G305" s="29">
        <v>2389</v>
      </c>
    </row>
    <row r="306" spans="1:7">
      <c r="A306" s="27">
        <v>61</v>
      </c>
      <c r="B306" s="28" t="s">
        <v>7</v>
      </c>
      <c r="C306" s="28" t="s">
        <v>15</v>
      </c>
      <c r="D306" s="29" t="s">
        <v>9</v>
      </c>
      <c r="E306" s="28" t="s">
        <v>16</v>
      </c>
      <c r="F306" s="28">
        <v>159</v>
      </c>
      <c r="G306" s="30">
        <v>3689</v>
      </c>
    </row>
    <row r="307" spans="1:7">
      <c r="A307" s="27">
        <v>62</v>
      </c>
      <c r="B307" s="28" t="s">
        <v>11</v>
      </c>
      <c r="C307" s="29" t="s">
        <v>8</v>
      </c>
      <c r="D307" s="29" t="s">
        <v>9</v>
      </c>
      <c r="E307" s="28" t="s">
        <v>10</v>
      </c>
      <c r="F307" s="29">
        <v>160</v>
      </c>
      <c r="G307" s="29">
        <v>242</v>
      </c>
    </row>
    <row r="308" spans="1:7">
      <c r="A308" s="27">
        <v>65</v>
      </c>
      <c r="B308" s="28" t="s">
        <v>11</v>
      </c>
      <c r="C308" s="29" t="s">
        <v>8</v>
      </c>
      <c r="D308" s="29" t="s">
        <v>9</v>
      </c>
      <c r="E308" s="28" t="s">
        <v>10</v>
      </c>
      <c r="F308" s="29">
        <v>169</v>
      </c>
      <c r="G308" s="29">
        <v>215</v>
      </c>
    </row>
    <row r="309" spans="1:7">
      <c r="A309" s="27">
        <v>66</v>
      </c>
      <c r="B309" s="28" t="s">
        <v>7</v>
      </c>
      <c r="C309" s="28" t="s">
        <v>15</v>
      </c>
      <c r="D309" s="29" t="s">
        <v>9</v>
      </c>
      <c r="E309" s="28" t="s">
        <v>16</v>
      </c>
      <c r="F309" s="29">
        <v>174</v>
      </c>
      <c r="G309" s="29">
        <v>1876</v>
      </c>
    </row>
    <row r="310" spans="1:7">
      <c r="A310" s="27">
        <v>67</v>
      </c>
      <c r="B310" s="28" t="s">
        <v>11</v>
      </c>
      <c r="C310" s="29" t="s">
        <v>8</v>
      </c>
      <c r="D310" s="29" t="s">
        <v>9</v>
      </c>
      <c r="E310" s="28" t="s">
        <v>16</v>
      </c>
      <c r="F310" s="29">
        <v>178</v>
      </c>
      <c r="G310" s="29">
        <v>290</v>
      </c>
    </row>
    <row r="311" spans="1:7">
      <c r="A311" s="27">
        <v>68</v>
      </c>
      <c r="B311" s="28" t="s">
        <v>7</v>
      </c>
      <c r="C311" s="28" t="s">
        <v>15</v>
      </c>
      <c r="D311" s="29" t="s">
        <v>9</v>
      </c>
      <c r="E311" s="28" t="s">
        <v>16</v>
      </c>
      <c r="F311" s="29">
        <v>179</v>
      </c>
      <c r="G311" s="29">
        <v>789</v>
      </c>
    </row>
    <row r="312" spans="1:7">
      <c r="A312" s="27">
        <v>69</v>
      </c>
      <c r="B312" s="28" t="s">
        <v>7</v>
      </c>
      <c r="C312" s="28" t="s">
        <v>15</v>
      </c>
      <c r="D312" s="29" t="s">
        <v>9</v>
      </c>
      <c r="E312" s="28" t="s">
        <v>16</v>
      </c>
      <c r="F312" s="29">
        <v>180</v>
      </c>
      <c r="G312" s="29">
        <v>3063</v>
      </c>
    </row>
    <row r="313" spans="1:7">
      <c r="A313" s="27">
        <v>70</v>
      </c>
      <c r="B313" s="28" t="s">
        <v>7</v>
      </c>
      <c r="C313" s="28" t="s">
        <v>15</v>
      </c>
      <c r="D313" s="29" t="s">
        <v>9</v>
      </c>
      <c r="E313" s="28" t="s">
        <v>16</v>
      </c>
      <c r="F313" s="29">
        <v>182</v>
      </c>
      <c r="G313" s="29">
        <v>2629.2</v>
      </c>
    </row>
    <row r="314" spans="1:7">
      <c r="A314" s="27">
        <v>76</v>
      </c>
      <c r="B314" s="28" t="s">
        <v>7</v>
      </c>
      <c r="C314" s="28" t="s">
        <v>15</v>
      </c>
      <c r="D314" s="29" t="s">
        <v>9</v>
      </c>
      <c r="E314" s="28" t="s">
        <v>16</v>
      </c>
      <c r="F314" s="28">
        <v>237</v>
      </c>
      <c r="G314" s="30">
        <v>3065</v>
      </c>
    </row>
    <row r="315" spans="1:7">
      <c r="A315" s="27">
        <v>77</v>
      </c>
      <c r="B315" s="28" t="s">
        <v>7</v>
      </c>
      <c r="C315" s="29" t="s">
        <v>8</v>
      </c>
      <c r="D315" s="29" t="s">
        <v>9</v>
      </c>
      <c r="E315" s="28" t="s">
        <v>16</v>
      </c>
      <c r="F315" s="29">
        <v>250</v>
      </c>
      <c r="G315" s="29">
        <v>400</v>
      </c>
    </row>
    <row r="316" spans="1:7">
      <c r="A316" s="27">
        <v>78</v>
      </c>
      <c r="B316" s="28" t="s">
        <v>7</v>
      </c>
      <c r="C316" s="28" t="s">
        <v>15</v>
      </c>
      <c r="D316" s="29" t="s">
        <v>9</v>
      </c>
      <c r="E316" s="28" t="s">
        <v>16</v>
      </c>
      <c r="F316" s="28">
        <v>297</v>
      </c>
      <c r="G316" s="30">
        <v>2684</v>
      </c>
    </row>
    <row r="317" spans="1:7">
      <c r="A317" s="27">
        <v>82</v>
      </c>
      <c r="B317" s="28" t="s">
        <v>7</v>
      </c>
      <c r="C317" s="28" t="s">
        <v>17</v>
      </c>
      <c r="D317" s="29" t="s">
        <v>9</v>
      </c>
      <c r="E317" s="28" t="s">
        <v>16</v>
      </c>
      <c r="F317" s="29">
        <v>443</v>
      </c>
      <c r="G317" s="29">
        <v>796</v>
      </c>
    </row>
    <row r="318" spans="1:7">
      <c r="A318" s="27">
        <v>83</v>
      </c>
      <c r="B318" s="28" t="s">
        <v>7</v>
      </c>
      <c r="C318" s="28" t="s">
        <v>15</v>
      </c>
      <c r="D318" s="29" t="s">
        <v>9</v>
      </c>
      <c r="E318" s="28" t="s">
        <v>16</v>
      </c>
      <c r="F318" s="29">
        <v>460</v>
      </c>
      <c r="G318" s="29">
        <v>1667</v>
      </c>
    </row>
    <row r="321" spans="1:7">
      <c r="A321" t="s">
        <v>28</v>
      </c>
    </row>
    <row r="322" spans="1:7" ht="20">
      <c r="A322" s="13" t="s">
        <v>29</v>
      </c>
    </row>
    <row r="323" spans="1:7" ht="17">
      <c r="A323" s="14" t="s">
        <v>30</v>
      </c>
      <c r="B323" s="14" t="s">
        <v>6</v>
      </c>
      <c r="C323" s="14"/>
      <c r="D323" s="14"/>
      <c r="E323" s="14"/>
      <c r="F323" s="14"/>
      <c r="G323" s="14"/>
    </row>
    <row r="324" spans="1:7" ht="17">
      <c r="A324" s="14">
        <v>18</v>
      </c>
      <c r="B324" s="14">
        <v>3689</v>
      </c>
      <c r="C324" s="14"/>
      <c r="D324" s="14"/>
      <c r="E324" s="14"/>
      <c r="F324" s="14"/>
      <c r="G324" s="14"/>
    </row>
    <row r="325" spans="1:7" ht="17">
      <c r="A325" s="14">
        <v>29</v>
      </c>
      <c r="B325" s="14">
        <v>796</v>
      </c>
      <c r="C325" s="14"/>
      <c r="D325" s="14"/>
      <c r="E325" s="14"/>
      <c r="F325" s="14"/>
      <c r="G325" s="14"/>
    </row>
    <row r="326" spans="1:7" ht="17">
      <c r="A326" s="14">
        <v>30</v>
      </c>
      <c r="B326" s="14">
        <v>1667</v>
      </c>
      <c r="C326" s="14"/>
      <c r="D326" s="14"/>
      <c r="E326" s="14"/>
      <c r="F326" s="14"/>
      <c r="G326" s="14"/>
    </row>
    <row r="328" spans="1:7" ht="32">
      <c r="A328" s="1" t="s">
        <v>0</v>
      </c>
      <c r="B328" s="23" t="s">
        <v>1</v>
      </c>
      <c r="C328" s="24" t="s">
        <v>2</v>
      </c>
      <c r="D328" s="24" t="s">
        <v>3</v>
      </c>
      <c r="E328" s="25" t="s">
        <v>4</v>
      </c>
      <c r="F328" s="26" t="s">
        <v>5</v>
      </c>
      <c r="G328" s="26" t="s">
        <v>6</v>
      </c>
    </row>
    <row r="329" spans="1:7">
      <c r="A329" s="27">
        <v>1</v>
      </c>
      <c r="B329" s="28" t="s">
        <v>7</v>
      </c>
      <c r="C329" s="29" t="s">
        <v>8</v>
      </c>
      <c r="D329" s="29" t="s">
        <v>9</v>
      </c>
      <c r="E329" s="28" t="s">
        <v>10</v>
      </c>
      <c r="F329" s="29">
        <v>25</v>
      </c>
      <c r="G329" s="29">
        <v>118</v>
      </c>
    </row>
    <row r="330" spans="1:7">
      <c r="A330" s="27">
        <v>5</v>
      </c>
      <c r="B330" s="28" t="s">
        <v>7</v>
      </c>
      <c r="C330" s="28" t="s">
        <v>15</v>
      </c>
      <c r="D330" s="29" t="s">
        <v>9</v>
      </c>
      <c r="E330" s="28" t="s">
        <v>16</v>
      </c>
      <c r="F330" s="29">
        <v>46</v>
      </c>
      <c r="G330" s="29">
        <v>1009</v>
      </c>
    </row>
    <row r="331" spans="1:7">
      <c r="A331" s="27">
        <v>6</v>
      </c>
      <c r="B331" s="28" t="s">
        <v>11</v>
      </c>
      <c r="C331" s="29" t="s">
        <v>8</v>
      </c>
      <c r="D331" s="29" t="s">
        <v>9</v>
      </c>
      <c r="E331" s="28" t="s">
        <v>10</v>
      </c>
      <c r="F331" s="29">
        <v>51</v>
      </c>
      <c r="G331" s="29">
        <v>52</v>
      </c>
    </row>
    <row r="332" spans="1:7">
      <c r="A332" s="27">
        <v>18</v>
      </c>
      <c r="B332" s="28" t="s">
        <v>11</v>
      </c>
      <c r="C332" s="29" t="s">
        <v>8</v>
      </c>
      <c r="D332" s="29" t="s">
        <v>9</v>
      </c>
      <c r="E332" s="28" t="s">
        <v>10</v>
      </c>
      <c r="F332" s="29">
        <v>79</v>
      </c>
      <c r="G332" s="29">
        <v>142</v>
      </c>
    </row>
    <row r="333" spans="1:7">
      <c r="A333" s="27">
        <v>20</v>
      </c>
      <c r="B333" s="28" t="s">
        <v>11</v>
      </c>
      <c r="C333" s="28" t="s">
        <v>15</v>
      </c>
      <c r="D333" s="29" t="s">
        <v>9</v>
      </c>
      <c r="E333" s="28" t="s">
        <v>10</v>
      </c>
      <c r="F333" s="28">
        <v>80</v>
      </c>
      <c r="G333" s="28">
        <v>260</v>
      </c>
    </row>
    <row r="334" spans="1:7">
      <c r="A334" s="27">
        <v>21</v>
      </c>
      <c r="B334" s="28" t="s">
        <v>7</v>
      </c>
      <c r="C334" s="28" t="s">
        <v>15</v>
      </c>
      <c r="D334" s="29" t="s">
        <v>9</v>
      </c>
      <c r="E334" s="28" t="s">
        <v>16</v>
      </c>
      <c r="F334" s="29">
        <v>80</v>
      </c>
      <c r="G334" s="29">
        <v>2879</v>
      </c>
    </row>
    <row r="335" spans="1:7">
      <c r="A335" s="27">
        <v>22</v>
      </c>
      <c r="B335" s="28" t="s">
        <v>11</v>
      </c>
      <c r="C335" s="29" t="s">
        <v>8</v>
      </c>
      <c r="D335" s="29" t="s">
        <v>9</v>
      </c>
      <c r="E335" s="28" t="s">
        <v>10</v>
      </c>
      <c r="F335" s="29">
        <v>81</v>
      </c>
      <c r="G335" s="29">
        <v>190</v>
      </c>
    </row>
    <row r="336" spans="1:7">
      <c r="A336" s="27">
        <v>25</v>
      </c>
      <c r="B336" s="28" t="s">
        <v>7</v>
      </c>
      <c r="C336" s="28" t="s">
        <v>15</v>
      </c>
      <c r="D336" s="29" t="s">
        <v>9</v>
      </c>
      <c r="E336" s="28" t="s">
        <v>16</v>
      </c>
      <c r="F336" s="29">
        <v>83</v>
      </c>
      <c r="G336" s="29">
        <v>855</v>
      </c>
    </row>
    <row r="337" spans="1:8">
      <c r="A337" s="27">
        <v>28</v>
      </c>
      <c r="B337" s="28" t="s">
        <v>11</v>
      </c>
      <c r="C337" s="29" t="s">
        <v>8</v>
      </c>
      <c r="D337" s="29" t="s">
        <v>9</v>
      </c>
      <c r="E337" s="28" t="s">
        <v>10</v>
      </c>
      <c r="F337" s="29">
        <v>87</v>
      </c>
      <c r="G337" s="29">
        <v>170</v>
      </c>
    </row>
    <row r="338" spans="1:8">
      <c r="A338" s="27">
        <v>29</v>
      </c>
      <c r="B338" s="28" t="s">
        <v>11</v>
      </c>
      <c r="C338" s="29" t="s">
        <v>8</v>
      </c>
      <c r="D338" s="29" t="s">
        <v>9</v>
      </c>
      <c r="E338" s="28" t="s">
        <v>10</v>
      </c>
      <c r="F338" s="29">
        <v>90</v>
      </c>
      <c r="G338" s="29">
        <v>189</v>
      </c>
    </row>
    <row r="339" spans="1:8">
      <c r="A339" s="27">
        <v>34</v>
      </c>
      <c r="B339" s="28" t="s">
        <v>11</v>
      </c>
      <c r="C339" s="29" t="s">
        <v>8</v>
      </c>
      <c r="D339" s="29" t="s">
        <v>9</v>
      </c>
      <c r="E339" s="28" t="s">
        <v>10</v>
      </c>
      <c r="F339" s="29">
        <v>102</v>
      </c>
      <c r="G339" s="29">
        <v>200</v>
      </c>
    </row>
    <row r="340" spans="1:8">
      <c r="A340" s="27">
        <v>42</v>
      </c>
      <c r="B340" s="28" t="s">
        <v>11</v>
      </c>
      <c r="C340" s="29" t="s">
        <v>8</v>
      </c>
      <c r="D340" s="29" t="s">
        <v>9</v>
      </c>
      <c r="E340" s="28" t="s">
        <v>16</v>
      </c>
      <c r="F340" s="29">
        <v>115</v>
      </c>
      <c r="G340" s="29">
        <v>285</v>
      </c>
    </row>
    <row r="341" spans="1:8">
      <c r="A341" s="27">
        <v>44</v>
      </c>
      <c r="B341" s="28" t="s">
        <v>7</v>
      </c>
      <c r="C341" s="28" t="s">
        <v>15</v>
      </c>
      <c r="D341" s="29" t="s">
        <v>9</v>
      </c>
      <c r="E341" s="28" t="s">
        <v>16</v>
      </c>
      <c r="F341" s="28">
        <v>115</v>
      </c>
      <c r="G341" s="30">
        <v>2712</v>
      </c>
    </row>
    <row r="342" spans="1:8">
      <c r="A342" s="27">
        <v>53</v>
      </c>
      <c r="B342" s="28" t="s">
        <v>11</v>
      </c>
      <c r="C342" s="29" t="s">
        <v>8</v>
      </c>
      <c r="D342" s="29" t="s">
        <v>9</v>
      </c>
      <c r="E342" s="28" t="s">
        <v>10</v>
      </c>
      <c r="F342" s="29">
        <v>136</v>
      </c>
      <c r="G342" s="29">
        <v>220</v>
      </c>
    </row>
    <row r="343" spans="1:8">
      <c r="A343" s="27">
        <v>56</v>
      </c>
      <c r="B343" s="28" t="s">
        <v>11</v>
      </c>
      <c r="C343" s="29" t="s">
        <v>8</v>
      </c>
      <c r="D343" s="29" t="s">
        <v>9</v>
      </c>
      <c r="E343" s="28" t="s">
        <v>10</v>
      </c>
      <c r="F343" s="29">
        <v>148</v>
      </c>
      <c r="G343" s="29">
        <v>186</v>
      </c>
    </row>
    <row r="344" spans="1:8">
      <c r="A344" s="27">
        <v>57</v>
      </c>
      <c r="B344" s="28" t="s">
        <v>11</v>
      </c>
      <c r="C344" s="29" t="s">
        <v>8</v>
      </c>
      <c r="D344" s="29" t="s">
        <v>9</v>
      </c>
      <c r="E344" s="28" t="s">
        <v>10</v>
      </c>
      <c r="F344" s="29">
        <v>152</v>
      </c>
      <c r="G344" s="29">
        <v>237</v>
      </c>
    </row>
    <row r="345" spans="1:8">
      <c r="A345" s="27">
        <v>58</v>
      </c>
      <c r="B345" s="28" t="s">
        <v>7</v>
      </c>
      <c r="C345" s="28" t="s">
        <v>15</v>
      </c>
      <c r="D345" s="29" t="s">
        <v>9</v>
      </c>
      <c r="E345" s="28" t="s">
        <v>16</v>
      </c>
      <c r="F345" s="29">
        <v>152</v>
      </c>
      <c r="G345" s="29">
        <v>2389</v>
      </c>
    </row>
    <row r="346" spans="1:8">
      <c r="A346" s="27">
        <v>61</v>
      </c>
      <c r="B346" s="28" t="s">
        <v>7</v>
      </c>
      <c r="C346" s="28" t="s">
        <v>15</v>
      </c>
      <c r="D346" s="29" t="s">
        <v>9</v>
      </c>
      <c r="E346" s="28" t="s">
        <v>16</v>
      </c>
      <c r="F346" s="28">
        <v>159</v>
      </c>
      <c r="G346" s="30">
        <v>3689</v>
      </c>
      <c r="H346" s="12" t="s">
        <v>31</v>
      </c>
    </row>
    <row r="347" spans="1:8">
      <c r="A347" s="27">
        <v>62</v>
      </c>
      <c r="B347" s="28" t="s">
        <v>11</v>
      </c>
      <c r="C347" s="29" t="s">
        <v>8</v>
      </c>
      <c r="D347" s="29" t="s">
        <v>9</v>
      </c>
      <c r="E347" s="28" t="s">
        <v>10</v>
      </c>
      <c r="F347" s="29">
        <v>160</v>
      </c>
      <c r="G347" s="29">
        <v>242</v>
      </c>
    </row>
    <row r="348" spans="1:8">
      <c r="A348" s="27">
        <v>65</v>
      </c>
      <c r="B348" s="28" t="s">
        <v>11</v>
      </c>
      <c r="C348" s="29" t="s">
        <v>8</v>
      </c>
      <c r="D348" s="29" t="s">
        <v>9</v>
      </c>
      <c r="E348" s="28" t="s">
        <v>10</v>
      </c>
      <c r="F348" s="29">
        <v>169</v>
      </c>
      <c r="G348" s="29">
        <v>215</v>
      </c>
    </row>
    <row r="349" spans="1:8">
      <c r="A349" s="27">
        <v>66</v>
      </c>
      <c r="B349" s="28" t="s">
        <v>7</v>
      </c>
      <c r="C349" s="28" t="s">
        <v>15</v>
      </c>
      <c r="D349" s="29" t="s">
        <v>9</v>
      </c>
      <c r="E349" s="28" t="s">
        <v>16</v>
      </c>
      <c r="F349" s="29">
        <v>174</v>
      </c>
      <c r="G349" s="29">
        <v>1876</v>
      </c>
    </row>
    <row r="350" spans="1:8">
      <c r="A350" s="27">
        <v>67</v>
      </c>
      <c r="B350" s="28" t="s">
        <v>11</v>
      </c>
      <c r="C350" s="29" t="s">
        <v>8</v>
      </c>
      <c r="D350" s="29" t="s">
        <v>9</v>
      </c>
      <c r="E350" s="28" t="s">
        <v>16</v>
      </c>
      <c r="F350" s="29">
        <v>178</v>
      </c>
      <c r="G350" s="29">
        <v>290</v>
      </c>
    </row>
    <row r="351" spans="1:8">
      <c r="A351" s="27">
        <v>68</v>
      </c>
      <c r="B351" s="28" t="s">
        <v>7</v>
      </c>
      <c r="C351" s="28" t="s">
        <v>15</v>
      </c>
      <c r="D351" s="29" t="s">
        <v>9</v>
      </c>
      <c r="E351" s="28" t="s">
        <v>16</v>
      </c>
      <c r="F351" s="29">
        <v>179</v>
      </c>
      <c r="G351" s="29">
        <v>789</v>
      </c>
    </row>
    <row r="352" spans="1:8">
      <c r="A352" s="27">
        <v>69</v>
      </c>
      <c r="B352" s="28" t="s">
        <v>7</v>
      </c>
      <c r="C352" s="28" t="s">
        <v>15</v>
      </c>
      <c r="D352" s="29" t="s">
        <v>9</v>
      </c>
      <c r="E352" s="28" t="s">
        <v>16</v>
      </c>
      <c r="F352" s="29">
        <v>180</v>
      </c>
      <c r="G352" s="29">
        <v>3063</v>
      </c>
    </row>
    <row r="353" spans="1:8">
      <c r="A353" s="27">
        <v>70</v>
      </c>
      <c r="B353" s="28" t="s">
        <v>7</v>
      </c>
      <c r="C353" s="28" t="s">
        <v>15</v>
      </c>
      <c r="D353" s="29" t="s">
        <v>9</v>
      </c>
      <c r="E353" s="28" t="s">
        <v>16</v>
      </c>
      <c r="F353" s="29">
        <v>182</v>
      </c>
      <c r="G353" s="29">
        <v>2629.2</v>
      </c>
    </row>
    <row r="354" spans="1:8">
      <c r="A354" s="27">
        <v>76</v>
      </c>
      <c r="B354" s="28" t="s">
        <v>7</v>
      </c>
      <c r="C354" s="28" t="s">
        <v>15</v>
      </c>
      <c r="D354" s="29" t="s">
        <v>9</v>
      </c>
      <c r="E354" s="28" t="s">
        <v>16</v>
      </c>
      <c r="F354" s="28">
        <v>237</v>
      </c>
      <c r="G354" s="30">
        <v>3065</v>
      </c>
    </row>
    <row r="355" spans="1:8">
      <c r="A355" s="27">
        <v>77</v>
      </c>
      <c r="B355" s="28" t="s">
        <v>7</v>
      </c>
      <c r="C355" s="29" t="s">
        <v>8</v>
      </c>
      <c r="D355" s="29" t="s">
        <v>9</v>
      </c>
      <c r="E355" s="28" t="s">
        <v>16</v>
      </c>
      <c r="F355" s="29">
        <v>250</v>
      </c>
      <c r="G355" s="29">
        <v>400</v>
      </c>
    </row>
    <row r="356" spans="1:8">
      <c r="A356" s="27">
        <v>78</v>
      </c>
      <c r="B356" s="28" t="s">
        <v>7</v>
      </c>
      <c r="C356" s="28" t="s">
        <v>15</v>
      </c>
      <c r="D356" s="29" t="s">
        <v>9</v>
      </c>
      <c r="E356" s="28" t="s">
        <v>16</v>
      </c>
      <c r="F356" s="28">
        <v>297</v>
      </c>
      <c r="G356" s="30">
        <v>2684</v>
      </c>
    </row>
    <row r="357" spans="1:8">
      <c r="A357" s="27">
        <v>82</v>
      </c>
      <c r="B357" s="28" t="s">
        <v>7</v>
      </c>
      <c r="C357" s="28" t="s">
        <v>17</v>
      </c>
      <c r="D357" s="29" t="s">
        <v>9</v>
      </c>
      <c r="E357" s="28" t="s">
        <v>16</v>
      </c>
      <c r="F357" s="29">
        <v>443</v>
      </c>
      <c r="G357" s="29">
        <v>796</v>
      </c>
      <c r="H357" s="12" t="s">
        <v>31</v>
      </c>
    </row>
    <row r="358" spans="1:8">
      <c r="A358" s="27">
        <v>83</v>
      </c>
      <c r="B358" s="28" t="s">
        <v>7</v>
      </c>
      <c r="C358" s="28" t="s">
        <v>15</v>
      </c>
      <c r="D358" s="29" t="s">
        <v>9</v>
      </c>
      <c r="E358" s="28" t="s">
        <v>16</v>
      </c>
      <c r="F358" s="29">
        <v>460</v>
      </c>
      <c r="G358" s="29">
        <v>1667</v>
      </c>
      <c r="H358" s="12" t="s">
        <v>31</v>
      </c>
    </row>
    <row r="361" spans="1:8" ht="32">
      <c r="A361" s="1" t="s">
        <v>0</v>
      </c>
      <c r="B361" s="23" t="s">
        <v>1</v>
      </c>
      <c r="C361" s="24" t="s">
        <v>2</v>
      </c>
      <c r="D361" s="24" t="s">
        <v>3</v>
      </c>
      <c r="E361" s="25" t="s">
        <v>4</v>
      </c>
      <c r="F361" s="26" t="s">
        <v>5</v>
      </c>
      <c r="G361" s="26" t="s">
        <v>6</v>
      </c>
    </row>
    <row r="362" spans="1:8">
      <c r="A362" s="27">
        <v>1</v>
      </c>
      <c r="B362" s="28" t="s">
        <v>7</v>
      </c>
      <c r="C362" s="29" t="s">
        <v>8</v>
      </c>
      <c r="D362" s="29" t="s">
        <v>9</v>
      </c>
      <c r="E362" s="28" t="s">
        <v>10</v>
      </c>
      <c r="F362" s="29">
        <v>25</v>
      </c>
      <c r="G362" s="29">
        <v>118</v>
      </c>
    </row>
    <row r="363" spans="1:8">
      <c r="A363" s="27">
        <v>5</v>
      </c>
      <c r="B363" s="28" t="s">
        <v>7</v>
      </c>
      <c r="C363" s="28" t="s">
        <v>15</v>
      </c>
      <c r="D363" s="29" t="s">
        <v>9</v>
      </c>
      <c r="E363" s="28" t="s">
        <v>16</v>
      </c>
      <c r="F363" s="29">
        <v>46</v>
      </c>
      <c r="G363" s="29">
        <v>1009</v>
      </c>
    </row>
    <row r="364" spans="1:8">
      <c r="A364" s="27">
        <v>6</v>
      </c>
      <c r="B364" s="28" t="s">
        <v>11</v>
      </c>
      <c r="C364" s="29" t="s">
        <v>8</v>
      </c>
      <c r="D364" s="29" t="s">
        <v>9</v>
      </c>
      <c r="E364" s="28" t="s">
        <v>10</v>
      </c>
      <c r="F364" s="29">
        <v>51</v>
      </c>
      <c r="G364" s="29">
        <v>52</v>
      </c>
    </row>
    <row r="365" spans="1:8">
      <c r="A365" s="27">
        <v>18</v>
      </c>
      <c r="B365" s="28" t="s">
        <v>11</v>
      </c>
      <c r="C365" s="29" t="s">
        <v>8</v>
      </c>
      <c r="D365" s="29" t="s">
        <v>9</v>
      </c>
      <c r="E365" s="28" t="s">
        <v>10</v>
      </c>
      <c r="F365" s="29">
        <v>79</v>
      </c>
      <c r="G365" s="29">
        <v>142</v>
      </c>
    </row>
    <row r="366" spans="1:8">
      <c r="A366" s="27">
        <v>20</v>
      </c>
      <c r="B366" s="28" t="s">
        <v>11</v>
      </c>
      <c r="C366" s="28" t="s">
        <v>15</v>
      </c>
      <c r="D366" s="29" t="s">
        <v>9</v>
      </c>
      <c r="E366" s="28" t="s">
        <v>10</v>
      </c>
      <c r="F366" s="28">
        <v>80</v>
      </c>
      <c r="G366" s="28">
        <v>260</v>
      </c>
    </row>
    <row r="367" spans="1:8">
      <c r="A367" s="27">
        <v>21</v>
      </c>
      <c r="B367" s="28" t="s">
        <v>7</v>
      </c>
      <c r="C367" s="28" t="s">
        <v>15</v>
      </c>
      <c r="D367" s="29" t="s">
        <v>9</v>
      </c>
      <c r="E367" s="28" t="s">
        <v>16</v>
      </c>
      <c r="F367" s="29">
        <v>80</v>
      </c>
      <c r="G367" s="29">
        <v>2879</v>
      </c>
    </row>
    <row r="368" spans="1:8">
      <c r="A368" s="27">
        <v>22</v>
      </c>
      <c r="B368" s="28" t="s">
        <v>11</v>
      </c>
      <c r="C368" s="29" t="s">
        <v>8</v>
      </c>
      <c r="D368" s="29" t="s">
        <v>9</v>
      </c>
      <c r="E368" s="28" t="s">
        <v>10</v>
      </c>
      <c r="F368" s="29">
        <v>81</v>
      </c>
      <c r="G368" s="29">
        <v>190</v>
      </c>
    </row>
    <row r="369" spans="1:7">
      <c r="A369" s="27">
        <v>25</v>
      </c>
      <c r="B369" s="28" t="s">
        <v>7</v>
      </c>
      <c r="C369" s="28" t="s">
        <v>15</v>
      </c>
      <c r="D369" s="29" t="s">
        <v>9</v>
      </c>
      <c r="E369" s="28" t="s">
        <v>16</v>
      </c>
      <c r="F369" s="29">
        <v>83</v>
      </c>
      <c r="G369" s="29">
        <v>855</v>
      </c>
    </row>
    <row r="370" spans="1:7">
      <c r="A370" s="27">
        <v>28</v>
      </c>
      <c r="B370" s="28" t="s">
        <v>11</v>
      </c>
      <c r="C370" s="29" t="s">
        <v>8</v>
      </c>
      <c r="D370" s="29" t="s">
        <v>9</v>
      </c>
      <c r="E370" s="28" t="s">
        <v>10</v>
      </c>
      <c r="F370" s="29">
        <v>87</v>
      </c>
      <c r="G370" s="29">
        <v>170</v>
      </c>
    </row>
    <row r="371" spans="1:7">
      <c r="A371" s="27">
        <v>29</v>
      </c>
      <c r="B371" s="28" t="s">
        <v>11</v>
      </c>
      <c r="C371" s="29" t="s">
        <v>8</v>
      </c>
      <c r="D371" s="29" t="s">
        <v>9</v>
      </c>
      <c r="E371" s="28" t="s">
        <v>10</v>
      </c>
      <c r="F371" s="29">
        <v>90</v>
      </c>
      <c r="G371" s="29">
        <v>189</v>
      </c>
    </row>
    <row r="372" spans="1:7">
      <c r="A372" s="27">
        <v>34</v>
      </c>
      <c r="B372" s="28" t="s">
        <v>11</v>
      </c>
      <c r="C372" s="29" t="s">
        <v>8</v>
      </c>
      <c r="D372" s="29" t="s">
        <v>9</v>
      </c>
      <c r="E372" s="28" t="s">
        <v>10</v>
      </c>
      <c r="F372" s="29">
        <v>102</v>
      </c>
      <c r="G372" s="29">
        <v>200</v>
      </c>
    </row>
    <row r="373" spans="1:7">
      <c r="A373" s="27">
        <v>42</v>
      </c>
      <c r="B373" s="28" t="s">
        <v>11</v>
      </c>
      <c r="C373" s="29" t="s">
        <v>8</v>
      </c>
      <c r="D373" s="29" t="s">
        <v>9</v>
      </c>
      <c r="E373" s="28" t="s">
        <v>16</v>
      </c>
      <c r="F373" s="29">
        <v>115</v>
      </c>
      <c r="G373" s="29">
        <v>285</v>
      </c>
    </row>
    <row r="374" spans="1:7">
      <c r="A374" s="27">
        <v>44</v>
      </c>
      <c r="B374" s="28" t="s">
        <v>7</v>
      </c>
      <c r="C374" s="28" t="s">
        <v>15</v>
      </c>
      <c r="D374" s="29" t="s">
        <v>9</v>
      </c>
      <c r="E374" s="28" t="s">
        <v>16</v>
      </c>
      <c r="F374" s="28">
        <v>115</v>
      </c>
      <c r="G374" s="30">
        <v>2712</v>
      </c>
    </row>
    <row r="375" spans="1:7">
      <c r="A375" s="27">
        <v>53</v>
      </c>
      <c r="B375" s="28" t="s">
        <v>11</v>
      </c>
      <c r="C375" s="29" t="s">
        <v>8</v>
      </c>
      <c r="D375" s="29" t="s">
        <v>9</v>
      </c>
      <c r="E375" s="28" t="s">
        <v>10</v>
      </c>
      <c r="F375" s="29">
        <v>136</v>
      </c>
      <c r="G375" s="29">
        <v>220</v>
      </c>
    </row>
    <row r="376" spans="1:7">
      <c r="A376" s="27">
        <v>56</v>
      </c>
      <c r="B376" s="28" t="s">
        <v>11</v>
      </c>
      <c r="C376" s="29" t="s">
        <v>8</v>
      </c>
      <c r="D376" s="29" t="s">
        <v>9</v>
      </c>
      <c r="E376" s="28" t="s">
        <v>10</v>
      </c>
      <c r="F376" s="29">
        <v>148</v>
      </c>
      <c r="G376" s="29">
        <v>186</v>
      </c>
    </row>
    <row r="377" spans="1:7">
      <c r="A377" s="27">
        <v>57</v>
      </c>
      <c r="B377" s="28" t="s">
        <v>11</v>
      </c>
      <c r="C377" s="29" t="s">
        <v>8</v>
      </c>
      <c r="D377" s="29" t="s">
        <v>9</v>
      </c>
      <c r="E377" s="28" t="s">
        <v>10</v>
      </c>
      <c r="F377" s="29">
        <v>152</v>
      </c>
      <c r="G377" s="29">
        <v>237</v>
      </c>
    </row>
    <row r="378" spans="1:7">
      <c r="A378" s="27">
        <v>58</v>
      </c>
      <c r="B378" s="28" t="s">
        <v>7</v>
      </c>
      <c r="C378" s="28" t="s">
        <v>15</v>
      </c>
      <c r="D378" s="29" t="s">
        <v>9</v>
      </c>
      <c r="E378" s="28" t="s">
        <v>16</v>
      </c>
      <c r="F378" s="29">
        <v>152</v>
      </c>
      <c r="G378" s="29">
        <v>2389</v>
      </c>
    </row>
    <row r="379" spans="1:7">
      <c r="A379" s="27">
        <v>62</v>
      </c>
      <c r="B379" s="28" t="s">
        <v>11</v>
      </c>
      <c r="C379" s="29" t="s">
        <v>8</v>
      </c>
      <c r="D379" s="29" t="s">
        <v>9</v>
      </c>
      <c r="E379" s="28" t="s">
        <v>10</v>
      </c>
      <c r="F379" s="29">
        <v>160</v>
      </c>
      <c r="G379" s="29">
        <v>242</v>
      </c>
    </row>
    <row r="380" spans="1:7">
      <c r="A380" s="27">
        <v>65</v>
      </c>
      <c r="B380" s="28" t="s">
        <v>11</v>
      </c>
      <c r="C380" s="29" t="s">
        <v>8</v>
      </c>
      <c r="D380" s="29" t="s">
        <v>9</v>
      </c>
      <c r="E380" s="28" t="s">
        <v>10</v>
      </c>
      <c r="F380" s="29">
        <v>169</v>
      </c>
      <c r="G380" s="29">
        <v>215</v>
      </c>
    </row>
    <row r="381" spans="1:7">
      <c r="A381" s="27">
        <v>66</v>
      </c>
      <c r="B381" s="28" t="s">
        <v>7</v>
      </c>
      <c r="C381" s="28" t="s">
        <v>15</v>
      </c>
      <c r="D381" s="29" t="s">
        <v>9</v>
      </c>
      <c r="E381" s="28" t="s">
        <v>16</v>
      </c>
      <c r="F381" s="29">
        <v>174</v>
      </c>
      <c r="G381" s="29">
        <v>1876</v>
      </c>
    </row>
    <row r="382" spans="1:7">
      <c r="A382" s="27">
        <v>67</v>
      </c>
      <c r="B382" s="28" t="s">
        <v>11</v>
      </c>
      <c r="C382" s="29" t="s">
        <v>8</v>
      </c>
      <c r="D382" s="29" t="s">
        <v>9</v>
      </c>
      <c r="E382" s="28" t="s">
        <v>16</v>
      </c>
      <c r="F382" s="29">
        <v>178</v>
      </c>
      <c r="G382" s="29">
        <v>290</v>
      </c>
    </row>
    <row r="383" spans="1:7">
      <c r="A383" s="27">
        <v>68</v>
      </c>
      <c r="B383" s="28" t="s">
        <v>7</v>
      </c>
      <c r="C383" s="28" t="s">
        <v>15</v>
      </c>
      <c r="D383" s="29" t="s">
        <v>9</v>
      </c>
      <c r="E383" s="28" t="s">
        <v>16</v>
      </c>
      <c r="F383" s="29">
        <v>179</v>
      </c>
      <c r="G383" s="29">
        <v>789</v>
      </c>
    </row>
    <row r="384" spans="1:7">
      <c r="A384" s="27">
        <v>69</v>
      </c>
      <c r="B384" s="28" t="s">
        <v>7</v>
      </c>
      <c r="C384" s="28" t="s">
        <v>15</v>
      </c>
      <c r="D384" s="29" t="s">
        <v>9</v>
      </c>
      <c r="E384" s="28" t="s">
        <v>16</v>
      </c>
      <c r="F384" s="29">
        <v>180</v>
      </c>
      <c r="G384" s="29">
        <v>3063</v>
      </c>
    </row>
    <row r="385" spans="1:7">
      <c r="A385" s="27">
        <v>70</v>
      </c>
      <c r="B385" s="28" t="s">
        <v>7</v>
      </c>
      <c r="C385" s="28" t="s">
        <v>15</v>
      </c>
      <c r="D385" s="29" t="s">
        <v>9</v>
      </c>
      <c r="E385" s="28" t="s">
        <v>16</v>
      </c>
      <c r="F385" s="29">
        <v>182</v>
      </c>
      <c r="G385" s="29">
        <v>2629.2</v>
      </c>
    </row>
    <row r="386" spans="1:7">
      <c r="A386" s="27">
        <v>76</v>
      </c>
      <c r="B386" s="28" t="s">
        <v>7</v>
      </c>
      <c r="C386" s="28" t="s">
        <v>15</v>
      </c>
      <c r="D386" s="29" t="s">
        <v>9</v>
      </c>
      <c r="E386" s="28" t="s">
        <v>16</v>
      </c>
      <c r="F386" s="28">
        <v>237</v>
      </c>
      <c r="G386" s="30">
        <v>3065</v>
      </c>
    </row>
    <row r="387" spans="1:7">
      <c r="A387" s="27">
        <v>77</v>
      </c>
      <c r="B387" s="28" t="s">
        <v>7</v>
      </c>
      <c r="C387" s="29" t="s">
        <v>8</v>
      </c>
      <c r="D387" s="29" t="s">
        <v>9</v>
      </c>
      <c r="E387" s="28" t="s">
        <v>16</v>
      </c>
      <c r="F387" s="29">
        <v>250</v>
      </c>
      <c r="G387" s="29">
        <v>400</v>
      </c>
    </row>
    <row r="388" spans="1:7">
      <c r="A388" s="27">
        <v>78</v>
      </c>
      <c r="B388" s="28" t="s">
        <v>7</v>
      </c>
      <c r="C388" s="28" t="s">
        <v>15</v>
      </c>
      <c r="D388" s="29" t="s">
        <v>9</v>
      </c>
      <c r="E388" s="28" t="s">
        <v>16</v>
      </c>
      <c r="F388" s="28">
        <v>297</v>
      </c>
      <c r="G388" s="30">
        <v>2684</v>
      </c>
    </row>
    <row r="390" spans="1:7">
      <c r="A390" t="s">
        <v>28</v>
      </c>
    </row>
    <row r="391" spans="1:7" ht="20">
      <c r="A391" s="13" t="s">
        <v>29</v>
      </c>
    </row>
    <row r="392" spans="1:7" ht="17">
      <c r="A392" s="14" t="s">
        <v>30</v>
      </c>
      <c r="B392" s="14" t="s">
        <v>6</v>
      </c>
      <c r="C392" s="14"/>
      <c r="D392" s="14"/>
      <c r="E392" s="14"/>
      <c r="F392" s="14"/>
      <c r="G392" s="14"/>
    </row>
    <row r="393" spans="1:7" ht="17">
      <c r="A393" s="14">
        <v>6</v>
      </c>
      <c r="B393" s="14">
        <v>2879</v>
      </c>
      <c r="C393" s="14"/>
      <c r="D393" s="14"/>
      <c r="E393" s="14"/>
      <c r="F393" s="14"/>
      <c r="G393" s="14"/>
    </row>
    <row r="394" spans="1:7" ht="17">
      <c r="A394" s="14">
        <v>27</v>
      </c>
      <c r="B394" s="14">
        <v>2684</v>
      </c>
      <c r="C394" s="14"/>
      <c r="D394" s="14"/>
      <c r="E394" s="14"/>
      <c r="F394" s="14"/>
      <c r="G394" s="14"/>
    </row>
    <row r="396" spans="1:7" ht="32">
      <c r="A396" s="1" t="s">
        <v>0</v>
      </c>
      <c r="B396" s="23" t="s">
        <v>1</v>
      </c>
      <c r="C396" s="24" t="s">
        <v>2</v>
      </c>
      <c r="D396" s="24" t="s">
        <v>3</v>
      </c>
      <c r="E396" s="25" t="s">
        <v>4</v>
      </c>
      <c r="F396" s="26" t="s">
        <v>5</v>
      </c>
      <c r="G396" s="26" t="s">
        <v>6</v>
      </c>
    </row>
    <row r="397" spans="1:7">
      <c r="A397" s="27">
        <v>1</v>
      </c>
      <c r="B397" s="28" t="s">
        <v>7</v>
      </c>
      <c r="C397" s="29" t="s">
        <v>8</v>
      </c>
      <c r="D397" s="29" t="s">
        <v>9</v>
      </c>
      <c r="E397" s="28" t="s">
        <v>10</v>
      </c>
      <c r="F397" s="29">
        <v>25</v>
      </c>
      <c r="G397" s="29">
        <v>118</v>
      </c>
    </row>
    <row r="398" spans="1:7">
      <c r="A398" s="27">
        <v>5</v>
      </c>
      <c r="B398" s="28" t="s">
        <v>7</v>
      </c>
      <c r="C398" s="28" t="s">
        <v>15</v>
      </c>
      <c r="D398" s="29" t="s">
        <v>9</v>
      </c>
      <c r="E398" s="28" t="s">
        <v>16</v>
      </c>
      <c r="F398" s="29">
        <v>46</v>
      </c>
      <c r="G398" s="29">
        <v>1009</v>
      </c>
    </row>
    <row r="399" spans="1:7">
      <c r="A399" s="27">
        <v>6</v>
      </c>
      <c r="B399" s="28" t="s">
        <v>11</v>
      </c>
      <c r="C399" s="29" t="s">
        <v>8</v>
      </c>
      <c r="D399" s="29" t="s">
        <v>9</v>
      </c>
      <c r="E399" s="28" t="s">
        <v>10</v>
      </c>
      <c r="F399" s="29">
        <v>51</v>
      </c>
      <c r="G399" s="29">
        <v>52</v>
      </c>
    </row>
    <row r="400" spans="1:7">
      <c r="A400" s="27">
        <v>18</v>
      </c>
      <c r="B400" s="28" t="s">
        <v>11</v>
      </c>
      <c r="C400" s="29" t="s">
        <v>8</v>
      </c>
      <c r="D400" s="29" t="s">
        <v>9</v>
      </c>
      <c r="E400" s="28" t="s">
        <v>10</v>
      </c>
      <c r="F400" s="29">
        <v>79</v>
      </c>
      <c r="G400" s="29">
        <v>142</v>
      </c>
    </row>
    <row r="401" spans="1:8">
      <c r="A401" s="27">
        <v>20</v>
      </c>
      <c r="B401" s="28" t="s">
        <v>11</v>
      </c>
      <c r="C401" s="28" t="s">
        <v>15</v>
      </c>
      <c r="D401" s="29" t="s">
        <v>9</v>
      </c>
      <c r="E401" s="28" t="s">
        <v>10</v>
      </c>
      <c r="F401" s="28">
        <v>80</v>
      </c>
      <c r="G401" s="28">
        <v>260</v>
      </c>
    </row>
    <row r="402" spans="1:8">
      <c r="A402" s="27">
        <v>21</v>
      </c>
      <c r="B402" s="28" t="s">
        <v>7</v>
      </c>
      <c r="C402" s="28" t="s">
        <v>15</v>
      </c>
      <c r="D402" s="29" t="s">
        <v>9</v>
      </c>
      <c r="E402" s="28" t="s">
        <v>16</v>
      </c>
      <c r="F402" s="29">
        <v>80</v>
      </c>
      <c r="G402" s="29">
        <v>2879</v>
      </c>
      <c r="H402" s="31" t="s">
        <v>31</v>
      </c>
    </row>
    <row r="403" spans="1:8">
      <c r="A403" s="27">
        <v>22</v>
      </c>
      <c r="B403" s="28" t="s">
        <v>11</v>
      </c>
      <c r="C403" s="29" t="s">
        <v>8</v>
      </c>
      <c r="D403" s="29" t="s">
        <v>9</v>
      </c>
      <c r="E403" s="28" t="s">
        <v>10</v>
      </c>
      <c r="F403" s="29">
        <v>81</v>
      </c>
      <c r="G403" s="29">
        <v>190</v>
      </c>
    </row>
    <row r="404" spans="1:8">
      <c r="A404" s="27">
        <v>25</v>
      </c>
      <c r="B404" s="28" t="s">
        <v>7</v>
      </c>
      <c r="C404" s="28" t="s">
        <v>15</v>
      </c>
      <c r="D404" s="29" t="s">
        <v>9</v>
      </c>
      <c r="E404" s="28" t="s">
        <v>16</v>
      </c>
      <c r="F404" s="29">
        <v>83</v>
      </c>
      <c r="G404" s="29">
        <v>855</v>
      </c>
    </row>
    <row r="405" spans="1:8">
      <c r="A405" s="27">
        <v>28</v>
      </c>
      <c r="B405" s="28" t="s">
        <v>11</v>
      </c>
      <c r="C405" s="29" t="s">
        <v>8</v>
      </c>
      <c r="D405" s="29" t="s">
        <v>9</v>
      </c>
      <c r="E405" s="28" t="s">
        <v>10</v>
      </c>
      <c r="F405" s="29">
        <v>87</v>
      </c>
      <c r="G405" s="29">
        <v>170</v>
      </c>
    </row>
    <row r="406" spans="1:8">
      <c r="A406" s="27">
        <v>29</v>
      </c>
      <c r="B406" s="28" t="s">
        <v>11</v>
      </c>
      <c r="C406" s="29" t="s">
        <v>8</v>
      </c>
      <c r="D406" s="29" t="s">
        <v>9</v>
      </c>
      <c r="E406" s="28" t="s">
        <v>10</v>
      </c>
      <c r="F406" s="29">
        <v>90</v>
      </c>
      <c r="G406" s="29">
        <v>189</v>
      </c>
    </row>
    <row r="407" spans="1:8">
      <c r="A407" s="27">
        <v>34</v>
      </c>
      <c r="B407" s="28" t="s">
        <v>11</v>
      </c>
      <c r="C407" s="29" t="s">
        <v>8</v>
      </c>
      <c r="D407" s="29" t="s">
        <v>9</v>
      </c>
      <c r="E407" s="28" t="s">
        <v>10</v>
      </c>
      <c r="F407" s="29">
        <v>102</v>
      </c>
      <c r="G407" s="29">
        <v>200</v>
      </c>
    </row>
    <row r="408" spans="1:8">
      <c r="A408" s="27">
        <v>42</v>
      </c>
      <c r="B408" s="28" t="s">
        <v>11</v>
      </c>
      <c r="C408" s="29" t="s">
        <v>8</v>
      </c>
      <c r="D408" s="29" t="s">
        <v>9</v>
      </c>
      <c r="E408" s="28" t="s">
        <v>16</v>
      </c>
      <c r="F408" s="29">
        <v>115</v>
      </c>
      <c r="G408" s="29">
        <v>285</v>
      </c>
    </row>
    <row r="409" spans="1:8">
      <c r="A409" s="27">
        <v>44</v>
      </c>
      <c r="B409" s="28" t="s">
        <v>7</v>
      </c>
      <c r="C409" s="28" t="s">
        <v>15</v>
      </c>
      <c r="D409" s="29" t="s">
        <v>9</v>
      </c>
      <c r="E409" s="28" t="s">
        <v>16</v>
      </c>
      <c r="F409" s="28">
        <v>115</v>
      </c>
      <c r="G409" s="30">
        <v>2712</v>
      </c>
    </row>
    <row r="410" spans="1:8">
      <c r="A410" s="27">
        <v>53</v>
      </c>
      <c r="B410" s="28" t="s">
        <v>11</v>
      </c>
      <c r="C410" s="29" t="s">
        <v>8</v>
      </c>
      <c r="D410" s="29" t="s">
        <v>9</v>
      </c>
      <c r="E410" s="28" t="s">
        <v>10</v>
      </c>
      <c r="F410" s="29">
        <v>136</v>
      </c>
      <c r="G410" s="29">
        <v>220</v>
      </c>
    </row>
    <row r="411" spans="1:8">
      <c r="A411" s="27">
        <v>56</v>
      </c>
      <c r="B411" s="28" t="s">
        <v>11</v>
      </c>
      <c r="C411" s="29" t="s">
        <v>8</v>
      </c>
      <c r="D411" s="29" t="s">
        <v>9</v>
      </c>
      <c r="E411" s="28" t="s">
        <v>10</v>
      </c>
      <c r="F411" s="29">
        <v>148</v>
      </c>
      <c r="G411" s="29">
        <v>186</v>
      </c>
    </row>
    <row r="412" spans="1:8">
      <c r="A412" s="27">
        <v>57</v>
      </c>
      <c r="B412" s="28" t="s">
        <v>11</v>
      </c>
      <c r="C412" s="29" t="s">
        <v>8</v>
      </c>
      <c r="D412" s="29" t="s">
        <v>9</v>
      </c>
      <c r="E412" s="28" t="s">
        <v>10</v>
      </c>
      <c r="F412" s="29">
        <v>152</v>
      </c>
      <c r="G412" s="29">
        <v>237</v>
      </c>
    </row>
    <row r="413" spans="1:8">
      <c r="A413" s="27">
        <v>58</v>
      </c>
      <c r="B413" s="28" t="s">
        <v>7</v>
      </c>
      <c r="C413" s="28" t="s">
        <v>15</v>
      </c>
      <c r="D413" s="29" t="s">
        <v>9</v>
      </c>
      <c r="E413" s="28" t="s">
        <v>16</v>
      </c>
      <c r="F413" s="29">
        <v>152</v>
      </c>
      <c r="G413" s="29">
        <v>2389</v>
      </c>
    </row>
    <row r="414" spans="1:8">
      <c r="A414" s="27">
        <v>62</v>
      </c>
      <c r="B414" s="28" t="s">
        <v>11</v>
      </c>
      <c r="C414" s="29" t="s">
        <v>8</v>
      </c>
      <c r="D414" s="29" t="s">
        <v>9</v>
      </c>
      <c r="E414" s="28" t="s">
        <v>10</v>
      </c>
      <c r="F414" s="29">
        <v>160</v>
      </c>
      <c r="G414" s="29">
        <v>242</v>
      </c>
    </row>
    <row r="415" spans="1:8">
      <c r="A415" s="27">
        <v>65</v>
      </c>
      <c r="B415" s="28" t="s">
        <v>11</v>
      </c>
      <c r="C415" s="29" t="s">
        <v>8</v>
      </c>
      <c r="D415" s="29" t="s">
        <v>9</v>
      </c>
      <c r="E415" s="28" t="s">
        <v>10</v>
      </c>
      <c r="F415" s="29">
        <v>169</v>
      </c>
      <c r="G415" s="29">
        <v>215</v>
      </c>
    </row>
    <row r="416" spans="1:8">
      <c r="A416" s="27">
        <v>66</v>
      </c>
      <c r="B416" s="28" t="s">
        <v>7</v>
      </c>
      <c r="C416" s="28" t="s">
        <v>15</v>
      </c>
      <c r="D416" s="29" t="s">
        <v>9</v>
      </c>
      <c r="E416" s="28" t="s">
        <v>16</v>
      </c>
      <c r="F416" s="29">
        <v>174</v>
      </c>
      <c r="G416" s="29">
        <v>1876</v>
      </c>
    </row>
    <row r="417" spans="1:8">
      <c r="A417" s="27">
        <v>67</v>
      </c>
      <c r="B417" s="28" t="s">
        <v>11</v>
      </c>
      <c r="C417" s="29" t="s">
        <v>8</v>
      </c>
      <c r="D417" s="29" t="s">
        <v>9</v>
      </c>
      <c r="E417" s="28" t="s">
        <v>16</v>
      </c>
      <c r="F417" s="29">
        <v>178</v>
      </c>
      <c r="G417" s="29">
        <v>290</v>
      </c>
    </row>
    <row r="418" spans="1:8">
      <c r="A418" s="27">
        <v>68</v>
      </c>
      <c r="B418" s="28" t="s">
        <v>7</v>
      </c>
      <c r="C418" s="28" t="s">
        <v>15</v>
      </c>
      <c r="D418" s="29" t="s">
        <v>9</v>
      </c>
      <c r="E418" s="28" t="s">
        <v>16</v>
      </c>
      <c r="F418" s="29">
        <v>179</v>
      </c>
      <c r="G418" s="29">
        <v>789</v>
      </c>
    </row>
    <row r="419" spans="1:8">
      <c r="A419" s="27">
        <v>69</v>
      </c>
      <c r="B419" s="28" t="s">
        <v>7</v>
      </c>
      <c r="C419" s="28" t="s">
        <v>15</v>
      </c>
      <c r="D419" s="29" t="s">
        <v>9</v>
      </c>
      <c r="E419" s="28" t="s">
        <v>16</v>
      </c>
      <c r="F419" s="29">
        <v>180</v>
      </c>
      <c r="G419" s="29">
        <v>3063</v>
      </c>
    </row>
    <row r="420" spans="1:8">
      <c r="A420" s="27">
        <v>70</v>
      </c>
      <c r="B420" s="28" t="s">
        <v>7</v>
      </c>
      <c r="C420" s="28" t="s">
        <v>15</v>
      </c>
      <c r="D420" s="29" t="s">
        <v>9</v>
      </c>
      <c r="E420" s="28" t="s">
        <v>16</v>
      </c>
      <c r="F420" s="29">
        <v>182</v>
      </c>
      <c r="G420" s="29">
        <v>2629.2</v>
      </c>
    </row>
    <row r="421" spans="1:8">
      <c r="A421" s="27">
        <v>76</v>
      </c>
      <c r="B421" s="28" t="s">
        <v>7</v>
      </c>
      <c r="C421" s="28" t="s">
        <v>15</v>
      </c>
      <c r="D421" s="29" t="s">
        <v>9</v>
      </c>
      <c r="E421" s="28" t="s">
        <v>16</v>
      </c>
      <c r="F421" s="28">
        <v>237</v>
      </c>
      <c r="G421" s="30">
        <v>3065</v>
      </c>
    </row>
    <row r="422" spans="1:8">
      <c r="A422" s="27">
        <v>77</v>
      </c>
      <c r="B422" s="28" t="s">
        <v>7</v>
      </c>
      <c r="C422" s="29" t="s">
        <v>8</v>
      </c>
      <c r="D422" s="29" t="s">
        <v>9</v>
      </c>
      <c r="E422" s="28" t="s">
        <v>16</v>
      </c>
      <c r="F422" s="29">
        <v>250</v>
      </c>
      <c r="G422" s="29">
        <v>400</v>
      </c>
    </row>
    <row r="423" spans="1:8">
      <c r="A423" s="27">
        <v>78</v>
      </c>
      <c r="B423" s="28" t="s">
        <v>7</v>
      </c>
      <c r="C423" s="28" t="s">
        <v>15</v>
      </c>
      <c r="D423" s="29" t="s">
        <v>9</v>
      </c>
      <c r="E423" s="28" t="s">
        <v>16</v>
      </c>
      <c r="F423" s="28">
        <v>297</v>
      </c>
      <c r="G423" s="30">
        <v>2684</v>
      </c>
      <c r="H423" s="31" t="s">
        <v>31</v>
      </c>
    </row>
    <row r="426" spans="1:8" ht="32">
      <c r="A426" s="1" t="s">
        <v>0</v>
      </c>
      <c r="B426" s="23" t="s">
        <v>1</v>
      </c>
      <c r="C426" s="24" t="s">
        <v>2</v>
      </c>
      <c r="D426" s="24" t="s">
        <v>3</v>
      </c>
      <c r="E426" s="25" t="s">
        <v>4</v>
      </c>
      <c r="F426" s="26" t="s">
        <v>5</v>
      </c>
      <c r="G426" s="26" t="s">
        <v>6</v>
      </c>
    </row>
    <row r="427" spans="1:8">
      <c r="A427" s="27">
        <v>1</v>
      </c>
      <c r="B427" s="28" t="s">
        <v>7</v>
      </c>
      <c r="C427" s="29" t="s">
        <v>8</v>
      </c>
      <c r="D427" s="29" t="s">
        <v>9</v>
      </c>
      <c r="E427" s="28" t="s">
        <v>10</v>
      </c>
      <c r="F427" s="29">
        <v>25</v>
      </c>
      <c r="G427" s="29">
        <v>118</v>
      </c>
    </row>
    <row r="428" spans="1:8">
      <c r="A428" s="27">
        <v>5</v>
      </c>
      <c r="B428" s="28" t="s">
        <v>7</v>
      </c>
      <c r="C428" s="28" t="s">
        <v>15</v>
      </c>
      <c r="D428" s="29" t="s">
        <v>9</v>
      </c>
      <c r="E428" s="28" t="s">
        <v>16</v>
      </c>
      <c r="F428" s="29">
        <v>46</v>
      </c>
      <c r="G428" s="29">
        <v>1009</v>
      </c>
    </row>
    <row r="429" spans="1:8">
      <c r="A429" s="27">
        <v>6</v>
      </c>
      <c r="B429" s="28" t="s">
        <v>11</v>
      </c>
      <c r="C429" s="29" t="s">
        <v>8</v>
      </c>
      <c r="D429" s="29" t="s">
        <v>9</v>
      </c>
      <c r="E429" s="28" t="s">
        <v>10</v>
      </c>
      <c r="F429" s="29">
        <v>51</v>
      </c>
      <c r="G429" s="29">
        <v>52</v>
      </c>
    </row>
    <row r="430" spans="1:8">
      <c r="A430" s="27">
        <v>18</v>
      </c>
      <c r="B430" s="28" t="s">
        <v>11</v>
      </c>
      <c r="C430" s="29" t="s">
        <v>8</v>
      </c>
      <c r="D430" s="29" t="s">
        <v>9</v>
      </c>
      <c r="E430" s="28" t="s">
        <v>10</v>
      </c>
      <c r="F430" s="29">
        <v>79</v>
      </c>
      <c r="G430" s="29">
        <v>142</v>
      </c>
    </row>
    <row r="431" spans="1:8">
      <c r="A431" s="27">
        <v>20</v>
      </c>
      <c r="B431" s="28" t="s">
        <v>11</v>
      </c>
      <c r="C431" s="28" t="s">
        <v>15</v>
      </c>
      <c r="D431" s="29" t="s">
        <v>9</v>
      </c>
      <c r="E431" s="28" t="s">
        <v>10</v>
      </c>
      <c r="F431" s="28">
        <v>80</v>
      </c>
      <c r="G431" s="28">
        <v>260</v>
      </c>
    </row>
    <row r="432" spans="1:8">
      <c r="A432" s="27">
        <v>22</v>
      </c>
      <c r="B432" s="28" t="s">
        <v>11</v>
      </c>
      <c r="C432" s="29" t="s">
        <v>8</v>
      </c>
      <c r="D432" s="29" t="s">
        <v>9</v>
      </c>
      <c r="E432" s="28" t="s">
        <v>10</v>
      </c>
      <c r="F432" s="29">
        <v>81</v>
      </c>
      <c r="G432" s="29">
        <v>190</v>
      </c>
    </row>
    <row r="433" spans="1:7">
      <c r="A433" s="27">
        <v>25</v>
      </c>
      <c r="B433" s="28" t="s">
        <v>7</v>
      </c>
      <c r="C433" s="28" t="s">
        <v>15</v>
      </c>
      <c r="D433" s="29" t="s">
        <v>9</v>
      </c>
      <c r="E433" s="28" t="s">
        <v>16</v>
      </c>
      <c r="F433" s="29">
        <v>83</v>
      </c>
      <c r="G433" s="29">
        <v>855</v>
      </c>
    </row>
    <row r="434" spans="1:7">
      <c r="A434" s="27">
        <v>28</v>
      </c>
      <c r="B434" s="28" t="s">
        <v>11</v>
      </c>
      <c r="C434" s="29" t="s">
        <v>8</v>
      </c>
      <c r="D434" s="29" t="s">
        <v>9</v>
      </c>
      <c r="E434" s="28" t="s">
        <v>10</v>
      </c>
      <c r="F434" s="29">
        <v>87</v>
      </c>
      <c r="G434" s="29">
        <v>170</v>
      </c>
    </row>
    <row r="435" spans="1:7">
      <c r="A435" s="27">
        <v>29</v>
      </c>
      <c r="B435" s="28" t="s">
        <v>11</v>
      </c>
      <c r="C435" s="29" t="s">
        <v>8</v>
      </c>
      <c r="D435" s="29" t="s">
        <v>9</v>
      </c>
      <c r="E435" s="28" t="s">
        <v>10</v>
      </c>
      <c r="F435" s="29">
        <v>90</v>
      </c>
      <c r="G435" s="29">
        <v>189</v>
      </c>
    </row>
    <row r="436" spans="1:7">
      <c r="A436" s="27">
        <v>34</v>
      </c>
      <c r="B436" s="28" t="s">
        <v>11</v>
      </c>
      <c r="C436" s="29" t="s">
        <v>8</v>
      </c>
      <c r="D436" s="29" t="s">
        <v>9</v>
      </c>
      <c r="E436" s="28" t="s">
        <v>10</v>
      </c>
      <c r="F436" s="29">
        <v>102</v>
      </c>
      <c r="G436" s="29">
        <v>200</v>
      </c>
    </row>
    <row r="437" spans="1:7">
      <c r="A437" s="27">
        <v>42</v>
      </c>
      <c r="B437" s="28" t="s">
        <v>11</v>
      </c>
      <c r="C437" s="29" t="s">
        <v>8</v>
      </c>
      <c r="D437" s="29" t="s">
        <v>9</v>
      </c>
      <c r="E437" s="28" t="s">
        <v>16</v>
      </c>
      <c r="F437" s="29">
        <v>115</v>
      </c>
      <c r="G437" s="29">
        <v>285</v>
      </c>
    </row>
    <row r="438" spans="1:7">
      <c r="A438" s="27">
        <v>44</v>
      </c>
      <c r="B438" s="28" t="s">
        <v>7</v>
      </c>
      <c r="C438" s="28" t="s">
        <v>15</v>
      </c>
      <c r="D438" s="29" t="s">
        <v>9</v>
      </c>
      <c r="E438" s="28" t="s">
        <v>16</v>
      </c>
      <c r="F438" s="28">
        <v>115</v>
      </c>
      <c r="G438" s="30">
        <v>2712</v>
      </c>
    </row>
    <row r="439" spans="1:7">
      <c r="A439" s="27">
        <v>53</v>
      </c>
      <c r="B439" s="28" t="s">
        <v>11</v>
      </c>
      <c r="C439" s="29" t="s">
        <v>8</v>
      </c>
      <c r="D439" s="29" t="s">
        <v>9</v>
      </c>
      <c r="E439" s="28" t="s">
        <v>10</v>
      </c>
      <c r="F439" s="29">
        <v>136</v>
      </c>
      <c r="G439" s="29">
        <v>220</v>
      </c>
    </row>
    <row r="440" spans="1:7">
      <c r="A440" s="27">
        <v>56</v>
      </c>
      <c r="B440" s="28" t="s">
        <v>11</v>
      </c>
      <c r="C440" s="29" t="s">
        <v>8</v>
      </c>
      <c r="D440" s="29" t="s">
        <v>9</v>
      </c>
      <c r="E440" s="28" t="s">
        <v>10</v>
      </c>
      <c r="F440" s="29">
        <v>148</v>
      </c>
      <c r="G440" s="29">
        <v>186</v>
      </c>
    </row>
    <row r="441" spans="1:7">
      <c r="A441" s="27">
        <v>57</v>
      </c>
      <c r="B441" s="28" t="s">
        <v>11</v>
      </c>
      <c r="C441" s="29" t="s">
        <v>8</v>
      </c>
      <c r="D441" s="29" t="s">
        <v>9</v>
      </c>
      <c r="E441" s="28" t="s">
        <v>10</v>
      </c>
      <c r="F441" s="29">
        <v>152</v>
      </c>
      <c r="G441" s="29">
        <v>237</v>
      </c>
    </row>
    <row r="442" spans="1:7">
      <c r="A442" s="27">
        <v>58</v>
      </c>
      <c r="B442" s="28" t="s">
        <v>7</v>
      </c>
      <c r="C442" s="28" t="s">
        <v>15</v>
      </c>
      <c r="D442" s="29" t="s">
        <v>9</v>
      </c>
      <c r="E442" s="28" t="s">
        <v>16</v>
      </c>
      <c r="F442" s="29">
        <v>152</v>
      </c>
      <c r="G442" s="29">
        <v>2389</v>
      </c>
    </row>
    <row r="443" spans="1:7">
      <c r="A443" s="27">
        <v>62</v>
      </c>
      <c r="B443" s="28" t="s">
        <v>11</v>
      </c>
      <c r="C443" s="29" t="s">
        <v>8</v>
      </c>
      <c r="D443" s="29" t="s">
        <v>9</v>
      </c>
      <c r="E443" s="28" t="s">
        <v>10</v>
      </c>
      <c r="F443" s="29">
        <v>160</v>
      </c>
      <c r="G443" s="29">
        <v>242</v>
      </c>
    </row>
    <row r="444" spans="1:7">
      <c r="A444" s="27">
        <v>65</v>
      </c>
      <c r="B444" s="28" t="s">
        <v>11</v>
      </c>
      <c r="C444" s="29" t="s">
        <v>8</v>
      </c>
      <c r="D444" s="29" t="s">
        <v>9</v>
      </c>
      <c r="E444" s="28" t="s">
        <v>10</v>
      </c>
      <c r="F444" s="29">
        <v>169</v>
      </c>
      <c r="G444" s="29">
        <v>215</v>
      </c>
    </row>
    <row r="445" spans="1:7">
      <c r="A445" s="27">
        <v>66</v>
      </c>
      <c r="B445" s="28" t="s">
        <v>7</v>
      </c>
      <c r="C445" s="28" t="s">
        <v>15</v>
      </c>
      <c r="D445" s="29" t="s">
        <v>9</v>
      </c>
      <c r="E445" s="28" t="s">
        <v>16</v>
      </c>
      <c r="F445" s="29">
        <v>174</v>
      </c>
      <c r="G445" s="29">
        <v>1876</v>
      </c>
    </row>
    <row r="446" spans="1:7">
      <c r="A446" s="27">
        <v>67</v>
      </c>
      <c r="B446" s="28" t="s">
        <v>11</v>
      </c>
      <c r="C446" s="29" t="s">
        <v>8</v>
      </c>
      <c r="D446" s="29" t="s">
        <v>9</v>
      </c>
      <c r="E446" s="28" t="s">
        <v>16</v>
      </c>
      <c r="F446" s="29">
        <v>178</v>
      </c>
      <c r="G446" s="29">
        <v>290</v>
      </c>
    </row>
    <row r="447" spans="1:7">
      <c r="A447" s="27">
        <v>68</v>
      </c>
      <c r="B447" s="28" t="s">
        <v>7</v>
      </c>
      <c r="C447" s="28" t="s">
        <v>15</v>
      </c>
      <c r="D447" s="29" t="s">
        <v>9</v>
      </c>
      <c r="E447" s="28" t="s">
        <v>16</v>
      </c>
      <c r="F447" s="29">
        <v>179</v>
      </c>
      <c r="G447" s="29">
        <v>789</v>
      </c>
    </row>
    <row r="448" spans="1:7">
      <c r="A448" s="27">
        <v>69</v>
      </c>
      <c r="B448" s="28" t="s">
        <v>7</v>
      </c>
      <c r="C448" s="28" t="s">
        <v>15</v>
      </c>
      <c r="D448" s="29" t="s">
        <v>9</v>
      </c>
      <c r="E448" s="28" t="s">
        <v>16</v>
      </c>
      <c r="F448" s="29">
        <v>180</v>
      </c>
      <c r="G448" s="29">
        <v>3063</v>
      </c>
    </row>
    <row r="449" spans="1:7">
      <c r="A449" s="27">
        <v>70</v>
      </c>
      <c r="B449" s="28" t="s">
        <v>7</v>
      </c>
      <c r="C449" s="28" t="s">
        <v>15</v>
      </c>
      <c r="D449" s="29" t="s">
        <v>9</v>
      </c>
      <c r="E449" s="28" t="s">
        <v>16</v>
      </c>
      <c r="F449" s="29">
        <v>182</v>
      </c>
      <c r="G449" s="29">
        <v>2629.2</v>
      </c>
    </row>
    <row r="450" spans="1:7">
      <c r="A450" s="27">
        <v>76</v>
      </c>
      <c r="B450" s="28" t="s">
        <v>7</v>
      </c>
      <c r="C450" s="28" t="s">
        <v>15</v>
      </c>
      <c r="D450" s="29" t="s">
        <v>9</v>
      </c>
      <c r="E450" s="28" t="s">
        <v>16</v>
      </c>
      <c r="F450" s="28">
        <v>237</v>
      </c>
      <c r="G450" s="30">
        <v>3065</v>
      </c>
    </row>
    <row r="451" spans="1:7">
      <c r="A451" s="27">
        <v>77</v>
      </c>
      <c r="B451" s="28" t="s">
        <v>7</v>
      </c>
      <c r="C451" s="29" t="s">
        <v>8</v>
      </c>
      <c r="D451" s="29" t="s">
        <v>9</v>
      </c>
      <c r="E451" s="28" t="s">
        <v>16</v>
      </c>
      <c r="F451" s="29">
        <v>250</v>
      </c>
      <c r="G451" s="29">
        <v>400</v>
      </c>
    </row>
    <row r="454" spans="1:7">
      <c r="A454" t="s">
        <v>28</v>
      </c>
    </row>
    <row r="455" spans="1:7" ht="20">
      <c r="A455" s="13" t="s">
        <v>29</v>
      </c>
    </row>
    <row r="456" spans="1:7" ht="17">
      <c r="A456" s="14" t="s">
        <v>30</v>
      </c>
      <c r="B456" s="14" t="s">
        <v>6</v>
      </c>
      <c r="C456" s="14"/>
      <c r="D456" s="14"/>
      <c r="E456" s="14"/>
      <c r="F456" s="14"/>
    </row>
    <row r="457" spans="1:7" ht="17">
      <c r="A457" s="14">
        <v>12</v>
      </c>
      <c r="B457" s="14">
        <v>2712</v>
      </c>
      <c r="C457" s="14"/>
      <c r="D457" s="14"/>
      <c r="E457" s="14"/>
      <c r="F457" s="14"/>
    </row>
    <row r="459" spans="1:7" ht="32">
      <c r="A459" s="1" t="s">
        <v>0</v>
      </c>
      <c r="B459" s="23" t="s">
        <v>1</v>
      </c>
      <c r="C459" s="24" t="s">
        <v>2</v>
      </c>
      <c r="D459" s="24" t="s">
        <v>3</v>
      </c>
      <c r="E459" s="25" t="s">
        <v>4</v>
      </c>
      <c r="F459" s="26" t="s">
        <v>5</v>
      </c>
      <c r="G459" s="26" t="s">
        <v>6</v>
      </c>
    </row>
    <row r="460" spans="1:7">
      <c r="A460" s="27">
        <v>1</v>
      </c>
      <c r="B460" s="28" t="s">
        <v>7</v>
      </c>
      <c r="C460" s="29" t="s">
        <v>8</v>
      </c>
      <c r="D460" s="29" t="s">
        <v>9</v>
      </c>
      <c r="E460" s="28" t="s">
        <v>10</v>
      </c>
      <c r="F460" s="29">
        <v>25</v>
      </c>
      <c r="G460" s="29">
        <v>118</v>
      </c>
    </row>
    <row r="461" spans="1:7">
      <c r="A461" s="27">
        <v>5</v>
      </c>
      <c r="B461" s="28" t="s">
        <v>7</v>
      </c>
      <c r="C461" s="28" t="s">
        <v>15</v>
      </c>
      <c r="D461" s="29" t="s">
        <v>9</v>
      </c>
      <c r="E461" s="28" t="s">
        <v>16</v>
      </c>
      <c r="F461" s="29">
        <v>46</v>
      </c>
      <c r="G461" s="29">
        <v>1009</v>
      </c>
    </row>
    <row r="462" spans="1:7">
      <c r="A462" s="27">
        <v>6</v>
      </c>
      <c r="B462" s="28" t="s">
        <v>11</v>
      </c>
      <c r="C462" s="29" t="s">
        <v>8</v>
      </c>
      <c r="D462" s="29" t="s">
        <v>9</v>
      </c>
      <c r="E462" s="28" t="s">
        <v>10</v>
      </c>
      <c r="F462" s="29">
        <v>51</v>
      </c>
      <c r="G462" s="29">
        <v>52</v>
      </c>
    </row>
    <row r="463" spans="1:7">
      <c r="A463" s="27">
        <v>18</v>
      </c>
      <c r="B463" s="28" t="s">
        <v>11</v>
      </c>
      <c r="C463" s="29" t="s">
        <v>8</v>
      </c>
      <c r="D463" s="29" t="s">
        <v>9</v>
      </c>
      <c r="E463" s="28" t="s">
        <v>10</v>
      </c>
      <c r="F463" s="29">
        <v>79</v>
      </c>
      <c r="G463" s="29">
        <v>142</v>
      </c>
    </row>
    <row r="464" spans="1:7">
      <c r="A464" s="27">
        <v>20</v>
      </c>
      <c r="B464" s="28" t="s">
        <v>11</v>
      </c>
      <c r="C464" s="28" t="s">
        <v>15</v>
      </c>
      <c r="D464" s="29" t="s">
        <v>9</v>
      </c>
      <c r="E464" s="28" t="s">
        <v>10</v>
      </c>
      <c r="F464" s="28">
        <v>80</v>
      </c>
      <c r="G464" s="28">
        <v>260</v>
      </c>
    </row>
    <row r="465" spans="1:8">
      <c r="A465" s="27">
        <v>22</v>
      </c>
      <c r="B465" s="28" t="s">
        <v>11</v>
      </c>
      <c r="C465" s="29" t="s">
        <v>8</v>
      </c>
      <c r="D465" s="29" t="s">
        <v>9</v>
      </c>
      <c r="E465" s="28" t="s">
        <v>10</v>
      </c>
      <c r="F465" s="29">
        <v>81</v>
      </c>
      <c r="G465" s="29">
        <v>190</v>
      </c>
    </row>
    <row r="466" spans="1:8">
      <c r="A466" s="27">
        <v>25</v>
      </c>
      <c r="B466" s="28" t="s">
        <v>7</v>
      </c>
      <c r="C466" s="28" t="s">
        <v>15</v>
      </c>
      <c r="D466" s="29" t="s">
        <v>9</v>
      </c>
      <c r="E466" s="28" t="s">
        <v>16</v>
      </c>
      <c r="F466" s="29">
        <v>83</v>
      </c>
      <c r="G466" s="29">
        <v>855</v>
      </c>
    </row>
    <row r="467" spans="1:8">
      <c r="A467" s="27">
        <v>28</v>
      </c>
      <c r="B467" s="28" t="s">
        <v>11</v>
      </c>
      <c r="C467" s="29" t="s">
        <v>8</v>
      </c>
      <c r="D467" s="29" t="s">
        <v>9</v>
      </c>
      <c r="E467" s="28" t="s">
        <v>10</v>
      </c>
      <c r="F467" s="29">
        <v>87</v>
      </c>
      <c r="G467" s="29">
        <v>170</v>
      </c>
    </row>
    <row r="468" spans="1:8">
      <c r="A468" s="27">
        <v>29</v>
      </c>
      <c r="B468" s="28" t="s">
        <v>11</v>
      </c>
      <c r="C468" s="29" t="s">
        <v>8</v>
      </c>
      <c r="D468" s="29" t="s">
        <v>9</v>
      </c>
      <c r="E468" s="28" t="s">
        <v>10</v>
      </c>
      <c r="F468" s="29">
        <v>90</v>
      </c>
      <c r="G468" s="29">
        <v>189</v>
      </c>
    </row>
    <row r="469" spans="1:8">
      <c r="A469" s="27">
        <v>34</v>
      </c>
      <c r="B469" s="28" t="s">
        <v>11</v>
      </c>
      <c r="C469" s="29" t="s">
        <v>8</v>
      </c>
      <c r="D469" s="29" t="s">
        <v>9</v>
      </c>
      <c r="E469" s="28" t="s">
        <v>10</v>
      </c>
      <c r="F469" s="29">
        <v>102</v>
      </c>
      <c r="G469" s="29">
        <v>200</v>
      </c>
    </row>
    <row r="470" spans="1:8">
      <c r="A470" s="27">
        <v>42</v>
      </c>
      <c r="B470" s="28" t="s">
        <v>11</v>
      </c>
      <c r="C470" s="29" t="s">
        <v>8</v>
      </c>
      <c r="D470" s="29" t="s">
        <v>9</v>
      </c>
      <c r="E470" s="28" t="s">
        <v>16</v>
      </c>
      <c r="F470" s="29">
        <v>115</v>
      </c>
      <c r="G470" s="29">
        <v>285</v>
      </c>
    </row>
    <row r="471" spans="1:8">
      <c r="A471" s="27">
        <v>44</v>
      </c>
      <c r="B471" s="28" t="s">
        <v>7</v>
      </c>
      <c r="C471" s="28" t="s">
        <v>15</v>
      </c>
      <c r="D471" s="29" t="s">
        <v>9</v>
      </c>
      <c r="E471" s="28" t="s">
        <v>16</v>
      </c>
      <c r="F471" s="28">
        <v>115</v>
      </c>
      <c r="G471" s="30">
        <v>2712</v>
      </c>
      <c r="H471" s="32" t="s">
        <v>31</v>
      </c>
    </row>
    <row r="472" spans="1:8">
      <c r="A472" s="27">
        <v>53</v>
      </c>
      <c r="B472" s="28" t="s">
        <v>11</v>
      </c>
      <c r="C472" s="29" t="s">
        <v>8</v>
      </c>
      <c r="D472" s="29" t="s">
        <v>9</v>
      </c>
      <c r="E472" s="28" t="s">
        <v>10</v>
      </c>
      <c r="F472" s="29">
        <v>136</v>
      </c>
      <c r="G472" s="29">
        <v>220</v>
      </c>
    </row>
    <row r="473" spans="1:8">
      <c r="A473" s="27">
        <v>56</v>
      </c>
      <c r="B473" s="28" t="s">
        <v>11</v>
      </c>
      <c r="C473" s="29" t="s">
        <v>8</v>
      </c>
      <c r="D473" s="29" t="s">
        <v>9</v>
      </c>
      <c r="E473" s="28" t="s">
        <v>10</v>
      </c>
      <c r="F473" s="29">
        <v>148</v>
      </c>
      <c r="G473" s="29">
        <v>186</v>
      </c>
    </row>
    <row r="474" spans="1:8">
      <c r="A474" s="27">
        <v>57</v>
      </c>
      <c r="B474" s="28" t="s">
        <v>11</v>
      </c>
      <c r="C474" s="29" t="s">
        <v>8</v>
      </c>
      <c r="D474" s="29" t="s">
        <v>9</v>
      </c>
      <c r="E474" s="28" t="s">
        <v>10</v>
      </c>
      <c r="F474" s="29">
        <v>152</v>
      </c>
      <c r="G474" s="29">
        <v>237</v>
      </c>
    </row>
    <row r="475" spans="1:8">
      <c r="A475" s="27">
        <v>58</v>
      </c>
      <c r="B475" s="28" t="s">
        <v>7</v>
      </c>
      <c r="C475" s="28" t="s">
        <v>15</v>
      </c>
      <c r="D475" s="29" t="s">
        <v>9</v>
      </c>
      <c r="E475" s="28" t="s">
        <v>16</v>
      </c>
      <c r="F475" s="29">
        <v>152</v>
      </c>
      <c r="G475" s="29">
        <v>2389</v>
      </c>
    </row>
    <row r="476" spans="1:8">
      <c r="A476" s="27">
        <v>62</v>
      </c>
      <c r="B476" s="28" t="s">
        <v>11</v>
      </c>
      <c r="C476" s="29" t="s">
        <v>8</v>
      </c>
      <c r="D476" s="29" t="s">
        <v>9</v>
      </c>
      <c r="E476" s="28" t="s">
        <v>10</v>
      </c>
      <c r="F476" s="29">
        <v>160</v>
      </c>
      <c r="G476" s="29">
        <v>242</v>
      </c>
    </row>
    <row r="477" spans="1:8">
      <c r="A477" s="27">
        <v>65</v>
      </c>
      <c r="B477" s="28" t="s">
        <v>11</v>
      </c>
      <c r="C477" s="29" t="s">
        <v>8</v>
      </c>
      <c r="D477" s="29" t="s">
        <v>9</v>
      </c>
      <c r="E477" s="28" t="s">
        <v>10</v>
      </c>
      <c r="F477" s="29">
        <v>169</v>
      </c>
      <c r="G477" s="29">
        <v>215</v>
      </c>
    </row>
    <row r="478" spans="1:8">
      <c r="A478" s="27">
        <v>66</v>
      </c>
      <c r="B478" s="28" t="s">
        <v>7</v>
      </c>
      <c r="C478" s="28" t="s">
        <v>15</v>
      </c>
      <c r="D478" s="29" t="s">
        <v>9</v>
      </c>
      <c r="E478" s="28" t="s">
        <v>16</v>
      </c>
      <c r="F478" s="29">
        <v>174</v>
      </c>
      <c r="G478" s="29">
        <v>1876</v>
      </c>
    </row>
    <row r="479" spans="1:8">
      <c r="A479" s="27">
        <v>67</v>
      </c>
      <c r="B479" s="28" t="s">
        <v>11</v>
      </c>
      <c r="C479" s="29" t="s">
        <v>8</v>
      </c>
      <c r="D479" s="29" t="s">
        <v>9</v>
      </c>
      <c r="E479" s="28" t="s">
        <v>16</v>
      </c>
      <c r="F479" s="29">
        <v>178</v>
      </c>
      <c r="G479" s="29">
        <v>290</v>
      </c>
    </row>
    <row r="480" spans="1:8">
      <c r="A480" s="27">
        <v>68</v>
      </c>
      <c r="B480" s="28" t="s">
        <v>7</v>
      </c>
      <c r="C480" s="28" t="s">
        <v>15</v>
      </c>
      <c r="D480" s="29" t="s">
        <v>9</v>
      </c>
      <c r="E480" s="28" t="s">
        <v>16</v>
      </c>
      <c r="F480" s="29">
        <v>179</v>
      </c>
      <c r="G480" s="29">
        <v>789</v>
      </c>
    </row>
    <row r="481" spans="1:7">
      <c r="A481" s="27">
        <v>69</v>
      </c>
      <c r="B481" s="28" t="s">
        <v>7</v>
      </c>
      <c r="C481" s="28" t="s">
        <v>15</v>
      </c>
      <c r="D481" s="29" t="s">
        <v>9</v>
      </c>
      <c r="E481" s="28" t="s">
        <v>16</v>
      </c>
      <c r="F481" s="29">
        <v>180</v>
      </c>
      <c r="G481" s="29">
        <v>3063</v>
      </c>
    </row>
    <row r="482" spans="1:7">
      <c r="A482" s="27">
        <v>70</v>
      </c>
      <c r="B482" s="28" t="s">
        <v>7</v>
      </c>
      <c r="C482" s="28" t="s">
        <v>15</v>
      </c>
      <c r="D482" s="29" t="s">
        <v>9</v>
      </c>
      <c r="E482" s="28" t="s">
        <v>16</v>
      </c>
      <c r="F482" s="29">
        <v>182</v>
      </c>
      <c r="G482" s="29">
        <v>2629.2</v>
      </c>
    </row>
    <row r="483" spans="1:7">
      <c r="A483" s="27">
        <v>76</v>
      </c>
      <c r="B483" s="28" t="s">
        <v>7</v>
      </c>
      <c r="C483" s="28" t="s">
        <v>15</v>
      </c>
      <c r="D483" s="29" t="s">
        <v>9</v>
      </c>
      <c r="E483" s="28" t="s">
        <v>16</v>
      </c>
      <c r="F483" s="28">
        <v>237</v>
      </c>
      <c r="G483" s="30">
        <v>3065</v>
      </c>
    </row>
    <row r="484" spans="1:7">
      <c r="A484" s="27">
        <v>77</v>
      </c>
      <c r="B484" s="28" t="s">
        <v>7</v>
      </c>
      <c r="C484" s="29" t="s">
        <v>8</v>
      </c>
      <c r="D484" s="29" t="s">
        <v>9</v>
      </c>
      <c r="E484" s="28" t="s">
        <v>16</v>
      </c>
      <c r="F484" s="29">
        <v>250</v>
      </c>
      <c r="G484" s="29">
        <v>400</v>
      </c>
    </row>
    <row r="487" spans="1:7" ht="32">
      <c r="A487" s="1" t="s">
        <v>0</v>
      </c>
      <c r="B487" s="23" t="s">
        <v>1</v>
      </c>
      <c r="C487" s="24" t="s">
        <v>2</v>
      </c>
      <c r="D487" s="24" t="s">
        <v>3</v>
      </c>
      <c r="E487" s="25" t="s">
        <v>4</v>
      </c>
      <c r="F487" s="26" t="s">
        <v>5</v>
      </c>
      <c r="G487" s="26" t="s">
        <v>6</v>
      </c>
    </row>
    <row r="488" spans="1:7">
      <c r="A488" s="27">
        <v>1</v>
      </c>
      <c r="B488" s="28" t="s">
        <v>7</v>
      </c>
      <c r="C488" s="29" t="s">
        <v>8</v>
      </c>
      <c r="D488" s="29" t="s">
        <v>9</v>
      </c>
      <c r="E488" s="28" t="s">
        <v>10</v>
      </c>
      <c r="F488" s="29">
        <v>25</v>
      </c>
      <c r="G488" s="29">
        <v>118</v>
      </c>
    </row>
    <row r="489" spans="1:7">
      <c r="A489" s="27">
        <v>5</v>
      </c>
      <c r="B489" s="28" t="s">
        <v>7</v>
      </c>
      <c r="C489" s="28" t="s">
        <v>15</v>
      </c>
      <c r="D489" s="29" t="s">
        <v>9</v>
      </c>
      <c r="E489" s="28" t="s">
        <v>16</v>
      </c>
      <c r="F489" s="29">
        <v>46</v>
      </c>
      <c r="G489" s="29">
        <v>1009</v>
      </c>
    </row>
    <row r="490" spans="1:7">
      <c r="A490" s="27">
        <v>6</v>
      </c>
      <c r="B490" s="28" t="s">
        <v>11</v>
      </c>
      <c r="C490" s="29" t="s">
        <v>8</v>
      </c>
      <c r="D490" s="29" t="s">
        <v>9</v>
      </c>
      <c r="E490" s="28" t="s">
        <v>10</v>
      </c>
      <c r="F490" s="29">
        <v>51</v>
      </c>
      <c r="G490" s="29">
        <v>52</v>
      </c>
    </row>
    <row r="491" spans="1:7">
      <c r="A491" s="27">
        <v>18</v>
      </c>
      <c r="B491" s="28" t="s">
        <v>11</v>
      </c>
      <c r="C491" s="29" t="s">
        <v>8</v>
      </c>
      <c r="D491" s="29" t="s">
        <v>9</v>
      </c>
      <c r="E491" s="28" t="s">
        <v>10</v>
      </c>
      <c r="F491" s="29">
        <v>79</v>
      </c>
      <c r="G491" s="29">
        <v>142</v>
      </c>
    </row>
    <row r="492" spans="1:7">
      <c r="A492" s="27">
        <v>20</v>
      </c>
      <c r="B492" s="28" t="s">
        <v>11</v>
      </c>
      <c r="C492" s="28" t="s">
        <v>15</v>
      </c>
      <c r="D492" s="29" t="s">
        <v>9</v>
      </c>
      <c r="E492" s="28" t="s">
        <v>10</v>
      </c>
      <c r="F492" s="28">
        <v>80</v>
      </c>
      <c r="G492" s="28">
        <v>260</v>
      </c>
    </row>
    <row r="493" spans="1:7">
      <c r="A493" s="27">
        <v>22</v>
      </c>
      <c r="B493" s="28" t="s">
        <v>11</v>
      </c>
      <c r="C493" s="29" t="s">
        <v>8</v>
      </c>
      <c r="D493" s="29" t="s">
        <v>9</v>
      </c>
      <c r="E493" s="28" t="s">
        <v>10</v>
      </c>
      <c r="F493" s="29">
        <v>81</v>
      </c>
      <c r="G493" s="29">
        <v>190</v>
      </c>
    </row>
    <row r="494" spans="1:7">
      <c r="A494" s="27">
        <v>25</v>
      </c>
      <c r="B494" s="28" t="s">
        <v>7</v>
      </c>
      <c r="C494" s="28" t="s">
        <v>15</v>
      </c>
      <c r="D494" s="29" t="s">
        <v>9</v>
      </c>
      <c r="E494" s="28" t="s">
        <v>16</v>
      </c>
      <c r="F494" s="29">
        <v>83</v>
      </c>
      <c r="G494" s="29">
        <v>855</v>
      </c>
    </row>
    <row r="495" spans="1:7">
      <c r="A495" s="27">
        <v>28</v>
      </c>
      <c r="B495" s="28" t="s">
        <v>11</v>
      </c>
      <c r="C495" s="29" t="s">
        <v>8</v>
      </c>
      <c r="D495" s="29" t="s">
        <v>9</v>
      </c>
      <c r="E495" s="28" t="s">
        <v>10</v>
      </c>
      <c r="F495" s="29">
        <v>87</v>
      </c>
      <c r="G495" s="29">
        <v>170</v>
      </c>
    </row>
    <row r="496" spans="1:7">
      <c r="A496" s="27">
        <v>29</v>
      </c>
      <c r="B496" s="28" t="s">
        <v>11</v>
      </c>
      <c r="C496" s="29" t="s">
        <v>8</v>
      </c>
      <c r="D496" s="29" t="s">
        <v>9</v>
      </c>
      <c r="E496" s="28" t="s">
        <v>10</v>
      </c>
      <c r="F496" s="29">
        <v>90</v>
      </c>
      <c r="G496" s="29">
        <v>189</v>
      </c>
    </row>
    <row r="497" spans="1:7">
      <c r="A497" s="27">
        <v>34</v>
      </c>
      <c r="B497" s="28" t="s">
        <v>11</v>
      </c>
      <c r="C497" s="29" t="s">
        <v>8</v>
      </c>
      <c r="D497" s="29" t="s">
        <v>9</v>
      </c>
      <c r="E497" s="28" t="s">
        <v>10</v>
      </c>
      <c r="F497" s="29">
        <v>102</v>
      </c>
      <c r="G497" s="29">
        <v>200</v>
      </c>
    </row>
    <row r="498" spans="1:7">
      <c r="A498" s="27">
        <v>42</v>
      </c>
      <c r="B498" s="28" t="s">
        <v>11</v>
      </c>
      <c r="C498" s="29" t="s">
        <v>8</v>
      </c>
      <c r="D498" s="29" t="s">
        <v>9</v>
      </c>
      <c r="E498" s="28" t="s">
        <v>16</v>
      </c>
      <c r="F498" s="29">
        <v>115</v>
      </c>
      <c r="G498" s="29">
        <v>285</v>
      </c>
    </row>
    <row r="499" spans="1:7">
      <c r="A499" s="27">
        <v>53</v>
      </c>
      <c r="B499" s="28" t="s">
        <v>11</v>
      </c>
      <c r="C499" s="29" t="s">
        <v>8</v>
      </c>
      <c r="D499" s="29" t="s">
        <v>9</v>
      </c>
      <c r="E499" s="28" t="s">
        <v>10</v>
      </c>
      <c r="F499" s="29">
        <v>136</v>
      </c>
      <c r="G499" s="29">
        <v>220</v>
      </c>
    </row>
    <row r="500" spans="1:7">
      <c r="A500" s="27">
        <v>56</v>
      </c>
      <c r="B500" s="28" t="s">
        <v>11</v>
      </c>
      <c r="C500" s="29" t="s">
        <v>8</v>
      </c>
      <c r="D500" s="29" t="s">
        <v>9</v>
      </c>
      <c r="E500" s="28" t="s">
        <v>10</v>
      </c>
      <c r="F500" s="29">
        <v>148</v>
      </c>
      <c r="G500" s="29">
        <v>186</v>
      </c>
    </row>
    <row r="501" spans="1:7">
      <c r="A501" s="27">
        <v>57</v>
      </c>
      <c r="B501" s="28" t="s">
        <v>11</v>
      </c>
      <c r="C501" s="29" t="s">
        <v>8</v>
      </c>
      <c r="D501" s="29" t="s">
        <v>9</v>
      </c>
      <c r="E501" s="28" t="s">
        <v>10</v>
      </c>
      <c r="F501" s="29">
        <v>152</v>
      </c>
      <c r="G501" s="29">
        <v>237</v>
      </c>
    </row>
    <row r="502" spans="1:7">
      <c r="A502" s="27">
        <v>58</v>
      </c>
      <c r="B502" s="28" t="s">
        <v>7</v>
      </c>
      <c r="C502" s="28" t="s">
        <v>15</v>
      </c>
      <c r="D502" s="29" t="s">
        <v>9</v>
      </c>
      <c r="E502" s="28" t="s">
        <v>16</v>
      </c>
      <c r="F502" s="29">
        <v>152</v>
      </c>
      <c r="G502" s="29">
        <v>2389</v>
      </c>
    </row>
    <row r="503" spans="1:7">
      <c r="A503" s="27">
        <v>62</v>
      </c>
      <c r="B503" s="28" t="s">
        <v>11</v>
      </c>
      <c r="C503" s="29" t="s">
        <v>8</v>
      </c>
      <c r="D503" s="29" t="s">
        <v>9</v>
      </c>
      <c r="E503" s="28" t="s">
        <v>10</v>
      </c>
      <c r="F503" s="29">
        <v>160</v>
      </c>
      <c r="G503" s="29">
        <v>242</v>
      </c>
    </row>
    <row r="504" spans="1:7">
      <c r="A504" s="27">
        <v>65</v>
      </c>
      <c r="B504" s="28" t="s">
        <v>11</v>
      </c>
      <c r="C504" s="29" t="s">
        <v>8</v>
      </c>
      <c r="D504" s="29" t="s">
        <v>9</v>
      </c>
      <c r="E504" s="28" t="s">
        <v>10</v>
      </c>
      <c r="F504" s="29">
        <v>169</v>
      </c>
      <c r="G504" s="29">
        <v>215</v>
      </c>
    </row>
    <row r="505" spans="1:7">
      <c r="A505" s="27">
        <v>66</v>
      </c>
      <c r="B505" s="28" t="s">
        <v>7</v>
      </c>
      <c r="C505" s="28" t="s">
        <v>15</v>
      </c>
      <c r="D505" s="29" t="s">
        <v>9</v>
      </c>
      <c r="E505" s="28" t="s">
        <v>16</v>
      </c>
      <c r="F505" s="29">
        <v>174</v>
      </c>
      <c r="G505" s="29">
        <v>1876</v>
      </c>
    </row>
    <row r="506" spans="1:7">
      <c r="A506" s="27">
        <v>67</v>
      </c>
      <c r="B506" s="28" t="s">
        <v>11</v>
      </c>
      <c r="C506" s="29" t="s">
        <v>8</v>
      </c>
      <c r="D506" s="29" t="s">
        <v>9</v>
      </c>
      <c r="E506" s="28" t="s">
        <v>16</v>
      </c>
      <c r="F506" s="29">
        <v>178</v>
      </c>
      <c r="G506" s="29">
        <v>290</v>
      </c>
    </row>
    <row r="507" spans="1:7">
      <c r="A507" s="27">
        <v>68</v>
      </c>
      <c r="B507" s="28" t="s">
        <v>7</v>
      </c>
      <c r="C507" s="28" t="s">
        <v>15</v>
      </c>
      <c r="D507" s="29" t="s">
        <v>9</v>
      </c>
      <c r="E507" s="28" t="s">
        <v>16</v>
      </c>
      <c r="F507" s="29">
        <v>179</v>
      </c>
      <c r="G507" s="29">
        <v>789</v>
      </c>
    </row>
    <row r="508" spans="1:7">
      <c r="A508" s="27">
        <v>69</v>
      </c>
      <c r="B508" s="28" t="s">
        <v>7</v>
      </c>
      <c r="C508" s="28" t="s">
        <v>15</v>
      </c>
      <c r="D508" s="29" t="s">
        <v>9</v>
      </c>
      <c r="E508" s="28" t="s">
        <v>16</v>
      </c>
      <c r="F508" s="29">
        <v>180</v>
      </c>
      <c r="G508" s="29">
        <v>3063</v>
      </c>
    </row>
    <row r="509" spans="1:7">
      <c r="A509" s="27">
        <v>70</v>
      </c>
      <c r="B509" s="28" t="s">
        <v>7</v>
      </c>
      <c r="C509" s="28" t="s">
        <v>15</v>
      </c>
      <c r="D509" s="29" t="s">
        <v>9</v>
      </c>
      <c r="E509" s="28" t="s">
        <v>16</v>
      </c>
      <c r="F509" s="29">
        <v>182</v>
      </c>
      <c r="G509" s="29">
        <v>2629.2</v>
      </c>
    </row>
    <row r="510" spans="1:7">
      <c r="A510" s="27">
        <v>76</v>
      </c>
      <c r="B510" s="28" t="s">
        <v>7</v>
      </c>
      <c r="C510" s="28" t="s">
        <v>15</v>
      </c>
      <c r="D510" s="29" t="s">
        <v>9</v>
      </c>
      <c r="E510" s="28" t="s">
        <v>16</v>
      </c>
      <c r="F510" s="28">
        <v>237</v>
      </c>
      <c r="G510" s="30">
        <v>3065</v>
      </c>
    </row>
    <row r="511" spans="1:7">
      <c r="A511" s="27">
        <v>77</v>
      </c>
      <c r="B511" s="28" t="s">
        <v>7</v>
      </c>
      <c r="C511" s="29" t="s">
        <v>8</v>
      </c>
      <c r="D511" s="29" t="s">
        <v>9</v>
      </c>
      <c r="E511" s="28" t="s">
        <v>16</v>
      </c>
      <c r="F511" s="29">
        <v>250</v>
      </c>
      <c r="G511" s="29">
        <v>400</v>
      </c>
    </row>
    <row r="513" spans="1:7">
      <c r="A513" t="s">
        <v>28</v>
      </c>
    </row>
    <row r="514" spans="1:7" ht="20">
      <c r="A514" s="13" t="s">
        <v>29</v>
      </c>
    </row>
    <row r="515" spans="1:7" ht="17">
      <c r="A515" s="14" t="s">
        <v>30</v>
      </c>
      <c r="B515" s="14" t="s">
        <v>6</v>
      </c>
      <c r="C515" s="14"/>
      <c r="D515" s="14"/>
      <c r="E515" s="14"/>
      <c r="F515" s="14"/>
    </row>
    <row r="516" spans="1:7" ht="17">
      <c r="A516" s="14">
        <v>21</v>
      </c>
      <c r="B516" s="14">
        <v>3063</v>
      </c>
      <c r="C516" s="14"/>
      <c r="D516" s="14"/>
      <c r="E516" s="14"/>
      <c r="F516" s="14"/>
    </row>
    <row r="518" spans="1:7" ht="32">
      <c r="A518" s="1" t="s">
        <v>0</v>
      </c>
      <c r="B518" s="23" t="s">
        <v>1</v>
      </c>
      <c r="C518" s="24" t="s">
        <v>2</v>
      </c>
      <c r="D518" s="24" t="s">
        <v>3</v>
      </c>
      <c r="E518" s="25" t="s">
        <v>4</v>
      </c>
      <c r="F518" s="26" t="s">
        <v>5</v>
      </c>
      <c r="G518" s="26" t="s">
        <v>6</v>
      </c>
    </row>
    <row r="519" spans="1:7">
      <c r="A519" s="27">
        <v>1</v>
      </c>
      <c r="B519" s="28" t="s">
        <v>7</v>
      </c>
      <c r="C519" s="29" t="s">
        <v>8</v>
      </c>
      <c r="D519" s="29" t="s">
        <v>9</v>
      </c>
      <c r="E519" s="28" t="s">
        <v>10</v>
      </c>
      <c r="F519" s="29">
        <v>25</v>
      </c>
      <c r="G519" s="29">
        <v>118</v>
      </c>
    </row>
    <row r="520" spans="1:7">
      <c r="A520" s="27">
        <v>5</v>
      </c>
      <c r="B520" s="28" t="s">
        <v>7</v>
      </c>
      <c r="C520" s="28" t="s">
        <v>15</v>
      </c>
      <c r="D520" s="29" t="s">
        <v>9</v>
      </c>
      <c r="E520" s="28" t="s">
        <v>16</v>
      </c>
      <c r="F520" s="29">
        <v>46</v>
      </c>
      <c r="G520" s="29">
        <v>1009</v>
      </c>
    </row>
    <row r="521" spans="1:7">
      <c r="A521" s="27">
        <v>6</v>
      </c>
      <c r="B521" s="28" t="s">
        <v>11</v>
      </c>
      <c r="C521" s="29" t="s">
        <v>8</v>
      </c>
      <c r="D521" s="29" t="s">
        <v>9</v>
      </c>
      <c r="E521" s="28" t="s">
        <v>10</v>
      </c>
      <c r="F521" s="29">
        <v>51</v>
      </c>
      <c r="G521" s="29">
        <v>52</v>
      </c>
    </row>
    <row r="522" spans="1:7">
      <c r="A522" s="27">
        <v>18</v>
      </c>
      <c r="B522" s="28" t="s">
        <v>11</v>
      </c>
      <c r="C522" s="29" t="s">
        <v>8</v>
      </c>
      <c r="D522" s="29" t="s">
        <v>9</v>
      </c>
      <c r="E522" s="28" t="s">
        <v>10</v>
      </c>
      <c r="F522" s="29">
        <v>79</v>
      </c>
      <c r="G522" s="29">
        <v>142</v>
      </c>
    </row>
    <row r="523" spans="1:7">
      <c r="A523" s="27">
        <v>20</v>
      </c>
      <c r="B523" s="28" t="s">
        <v>11</v>
      </c>
      <c r="C523" s="28" t="s">
        <v>15</v>
      </c>
      <c r="D523" s="29" t="s">
        <v>9</v>
      </c>
      <c r="E523" s="28" t="s">
        <v>10</v>
      </c>
      <c r="F523" s="28">
        <v>80</v>
      </c>
      <c r="G523" s="28">
        <v>260</v>
      </c>
    </row>
    <row r="524" spans="1:7">
      <c r="A524" s="27">
        <v>22</v>
      </c>
      <c r="B524" s="28" t="s">
        <v>11</v>
      </c>
      <c r="C524" s="29" t="s">
        <v>8</v>
      </c>
      <c r="D524" s="29" t="s">
        <v>9</v>
      </c>
      <c r="E524" s="28" t="s">
        <v>10</v>
      </c>
      <c r="F524" s="29">
        <v>81</v>
      </c>
      <c r="G524" s="29">
        <v>190</v>
      </c>
    </row>
    <row r="525" spans="1:7">
      <c r="A525" s="27">
        <v>25</v>
      </c>
      <c r="B525" s="28" t="s">
        <v>7</v>
      </c>
      <c r="C525" s="28" t="s">
        <v>15</v>
      </c>
      <c r="D525" s="29" t="s">
        <v>9</v>
      </c>
      <c r="E525" s="28" t="s">
        <v>16</v>
      </c>
      <c r="F525" s="29">
        <v>83</v>
      </c>
      <c r="G525" s="29">
        <v>855</v>
      </c>
    </row>
    <row r="526" spans="1:7">
      <c r="A526" s="27">
        <v>28</v>
      </c>
      <c r="B526" s="28" t="s">
        <v>11</v>
      </c>
      <c r="C526" s="29" t="s">
        <v>8</v>
      </c>
      <c r="D526" s="29" t="s">
        <v>9</v>
      </c>
      <c r="E526" s="28" t="s">
        <v>10</v>
      </c>
      <c r="F526" s="29">
        <v>87</v>
      </c>
      <c r="G526" s="29">
        <v>170</v>
      </c>
    </row>
    <row r="527" spans="1:7">
      <c r="A527" s="27">
        <v>29</v>
      </c>
      <c r="B527" s="28" t="s">
        <v>11</v>
      </c>
      <c r="C527" s="29" t="s">
        <v>8</v>
      </c>
      <c r="D527" s="29" t="s">
        <v>9</v>
      </c>
      <c r="E527" s="28" t="s">
        <v>10</v>
      </c>
      <c r="F527" s="29">
        <v>90</v>
      </c>
      <c r="G527" s="29">
        <v>189</v>
      </c>
    </row>
    <row r="528" spans="1:7">
      <c r="A528" s="27">
        <v>34</v>
      </c>
      <c r="B528" s="28" t="s">
        <v>11</v>
      </c>
      <c r="C528" s="29" t="s">
        <v>8</v>
      </c>
      <c r="D528" s="29" t="s">
        <v>9</v>
      </c>
      <c r="E528" s="28" t="s">
        <v>10</v>
      </c>
      <c r="F528" s="29">
        <v>102</v>
      </c>
      <c r="G528" s="29">
        <v>200</v>
      </c>
    </row>
    <row r="529" spans="1:8">
      <c r="A529" s="27">
        <v>42</v>
      </c>
      <c r="B529" s="28" t="s">
        <v>11</v>
      </c>
      <c r="C529" s="29" t="s">
        <v>8</v>
      </c>
      <c r="D529" s="29" t="s">
        <v>9</v>
      </c>
      <c r="E529" s="28" t="s">
        <v>16</v>
      </c>
      <c r="F529" s="29">
        <v>115</v>
      </c>
      <c r="G529" s="29">
        <v>285</v>
      </c>
    </row>
    <row r="530" spans="1:8">
      <c r="A530" s="27">
        <v>53</v>
      </c>
      <c r="B530" s="28" t="s">
        <v>11</v>
      </c>
      <c r="C530" s="29" t="s">
        <v>8</v>
      </c>
      <c r="D530" s="29" t="s">
        <v>9</v>
      </c>
      <c r="E530" s="28" t="s">
        <v>10</v>
      </c>
      <c r="F530" s="29">
        <v>136</v>
      </c>
      <c r="G530" s="29">
        <v>220</v>
      </c>
    </row>
    <row r="531" spans="1:8">
      <c r="A531" s="27">
        <v>56</v>
      </c>
      <c r="B531" s="28" t="s">
        <v>11</v>
      </c>
      <c r="C531" s="29" t="s">
        <v>8</v>
      </c>
      <c r="D531" s="29" t="s">
        <v>9</v>
      </c>
      <c r="E531" s="28" t="s">
        <v>10</v>
      </c>
      <c r="F531" s="29">
        <v>148</v>
      </c>
      <c r="G531" s="29">
        <v>186</v>
      </c>
    </row>
    <row r="532" spans="1:8">
      <c r="A532" s="27">
        <v>57</v>
      </c>
      <c r="B532" s="28" t="s">
        <v>11</v>
      </c>
      <c r="C532" s="29" t="s">
        <v>8</v>
      </c>
      <c r="D532" s="29" t="s">
        <v>9</v>
      </c>
      <c r="E532" s="28" t="s">
        <v>10</v>
      </c>
      <c r="F532" s="29">
        <v>152</v>
      </c>
      <c r="G532" s="29">
        <v>237</v>
      </c>
    </row>
    <row r="533" spans="1:8">
      <c r="A533" s="27">
        <v>58</v>
      </c>
      <c r="B533" s="28" t="s">
        <v>7</v>
      </c>
      <c r="C533" s="28" t="s">
        <v>15</v>
      </c>
      <c r="D533" s="29" t="s">
        <v>9</v>
      </c>
      <c r="E533" s="28" t="s">
        <v>16</v>
      </c>
      <c r="F533" s="29">
        <v>152</v>
      </c>
      <c r="G533" s="29">
        <v>2389</v>
      </c>
    </row>
    <row r="534" spans="1:8">
      <c r="A534" s="27">
        <v>62</v>
      </c>
      <c r="B534" s="28" t="s">
        <v>11</v>
      </c>
      <c r="C534" s="29" t="s">
        <v>8</v>
      </c>
      <c r="D534" s="29" t="s">
        <v>9</v>
      </c>
      <c r="E534" s="28" t="s">
        <v>10</v>
      </c>
      <c r="F534" s="29">
        <v>160</v>
      </c>
      <c r="G534" s="29">
        <v>242</v>
      </c>
    </row>
    <row r="535" spans="1:8">
      <c r="A535" s="27">
        <v>65</v>
      </c>
      <c r="B535" s="28" t="s">
        <v>11</v>
      </c>
      <c r="C535" s="29" t="s">
        <v>8</v>
      </c>
      <c r="D535" s="29" t="s">
        <v>9</v>
      </c>
      <c r="E535" s="28" t="s">
        <v>10</v>
      </c>
      <c r="F535" s="29">
        <v>169</v>
      </c>
      <c r="G535" s="29">
        <v>215</v>
      </c>
    </row>
    <row r="536" spans="1:8">
      <c r="A536" s="27">
        <v>66</v>
      </c>
      <c r="B536" s="28" t="s">
        <v>7</v>
      </c>
      <c r="C536" s="28" t="s">
        <v>15</v>
      </c>
      <c r="D536" s="29" t="s">
        <v>9</v>
      </c>
      <c r="E536" s="28" t="s">
        <v>16</v>
      </c>
      <c r="F536" s="29">
        <v>174</v>
      </c>
      <c r="G536" s="29">
        <v>1876</v>
      </c>
    </row>
    <row r="537" spans="1:8">
      <c r="A537" s="27">
        <v>67</v>
      </c>
      <c r="B537" s="28" t="s">
        <v>11</v>
      </c>
      <c r="C537" s="29" t="s">
        <v>8</v>
      </c>
      <c r="D537" s="29" t="s">
        <v>9</v>
      </c>
      <c r="E537" s="28" t="s">
        <v>16</v>
      </c>
      <c r="F537" s="29">
        <v>178</v>
      </c>
      <c r="G537" s="29">
        <v>290</v>
      </c>
    </row>
    <row r="538" spans="1:8">
      <c r="A538" s="27">
        <v>68</v>
      </c>
      <c r="B538" s="28" t="s">
        <v>7</v>
      </c>
      <c r="C538" s="28" t="s">
        <v>15</v>
      </c>
      <c r="D538" s="29" t="s">
        <v>9</v>
      </c>
      <c r="E538" s="28" t="s">
        <v>16</v>
      </c>
      <c r="F538" s="29">
        <v>179</v>
      </c>
      <c r="G538" s="29">
        <v>789</v>
      </c>
    </row>
    <row r="539" spans="1:8">
      <c r="A539" s="27">
        <v>69</v>
      </c>
      <c r="B539" s="28" t="s">
        <v>7</v>
      </c>
      <c r="C539" s="28" t="s">
        <v>15</v>
      </c>
      <c r="D539" s="29" t="s">
        <v>9</v>
      </c>
      <c r="E539" s="28" t="s">
        <v>16</v>
      </c>
      <c r="F539" s="29">
        <v>180</v>
      </c>
      <c r="G539" s="29">
        <v>3063</v>
      </c>
    </row>
    <row r="540" spans="1:8">
      <c r="A540" s="27">
        <v>70</v>
      </c>
      <c r="B540" s="28" t="s">
        <v>7</v>
      </c>
      <c r="C540" s="28" t="s">
        <v>15</v>
      </c>
      <c r="D540" s="29" t="s">
        <v>9</v>
      </c>
      <c r="E540" s="28" t="s">
        <v>16</v>
      </c>
      <c r="F540" s="29">
        <v>182</v>
      </c>
      <c r="G540" s="29">
        <v>2629.2</v>
      </c>
    </row>
    <row r="541" spans="1:8">
      <c r="A541" s="27">
        <v>76</v>
      </c>
      <c r="B541" s="28" t="s">
        <v>7</v>
      </c>
      <c r="C541" s="28" t="s">
        <v>15</v>
      </c>
      <c r="D541" s="29" t="s">
        <v>9</v>
      </c>
      <c r="E541" s="28" t="s">
        <v>16</v>
      </c>
      <c r="F541" s="28">
        <v>237</v>
      </c>
      <c r="G541" s="30">
        <v>3065</v>
      </c>
      <c r="H541" s="32" t="s">
        <v>31</v>
      </c>
    </row>
    <row r="542" spans="1:8">
      <c r="A542" s="27">
        <v>77</v>
      </c>
      <c r="B542" s="28" t="s">
        <v>7</v>
      </c>
      <c r="C542" s="29" t="s">
        <v>8</v>
      </c>
      <c r="D542" s="29" t="s">
        <v>9</v>
      </c>
      <c r="E542" s="28" t="s">
        <v>16</v>
      </c>
      <c r="F542" s="29">
        <v>250</v>
      </c>
      <c r="G542" s="29">
        <v>400</v>
      </c>
    </row>
    <row r="544" spans="1:8" ht="32">
      <c r="A544" s="1" t="s">
        <v>0</v>
      </c>
      <c r="B544" s="23" t="s">
        <v>1</v>
      </c>
      <c r="C544" s="24" t="s">
        <v>2</v>
      </c>
      <c r="D544" s="24" t="s">
        <v>3</v>
      </c>
      <c r="E544" s="25" t="s">
        <v>4</v>
      </c>
      <c r="F544" s="26" t="s">
        <v>5</v>
      </c>
      <c r="G544" s="26" t="s">
        <v>6</v>
      </c>
    </row>
    <row r="545" spans="1:7">
      <c r="A545" s="27">
        <v>1</v>
      </c>
      <c r="B545" s="28" t="s">
        <v>7</v>
      </c>
      <c r="C545" s="29" t="s">
        <v>8</v>
      </c>
      <c r="D545" s="29" t="s">
        <v>9</v>
      </c>
      <c r="E545" s="28" t="s">
        <v>10</v>
      </c>
      <c r="F545" s="29">
        <v>25</v>
      </c>
      <c r="G545" s="29">
        <v>118</v>
      </c>
    </row>
    <row r="546" spans="1:7">
      <c r="A546" s="27">
        <v>5</v>
      </c>
      <c r="B546" s="28" t="s">
        <v>7</v>
      </c>
      <c r="C546" s="28" t="s">
        <v>15</v>
      </c>
      <c r="D546" s="29" t="s">
        <v>9</v>
      </c>
      <c r="E546" s="28" t="s">
        <v>16</v>
      </c>
      <c r="F546" s="29">
        <v>46</v>
      </c>
      <c r="G546" s="29">
        <v>1009</v>
      </c>
    </row>
    <row r="547" spans="1:7">
      <c r="A547" s="27">
        <v>6</v>
      </c>
      <c r="B547" s="28" t="s">
        <v>11</v>
      </c>
      <c r="C547" s="29" t="s">
        <v>8</v>
      </c>
      <c r="D547" s="29" t="s">
        <v>9</v>
      </c>
      <c r="E547" s="28" t="s">
        <v>10</v>
      </c>
      <c r="F547" s="29">
        <v>51</v>
      </c>
      <c r="G547" s="29">
        <v>52</v>
      </c>
    </row>
    <row r="548" spans="1:7">
      <c r="A548" s="27">
        <v>18</v>
      </c>
      <c r="B548" s="28" t="s">
        <v>11</v>
      </c>
      <c r="C548" s="29" t="s">
        <v>8</v>
      </c>
      <c r="D548" s="29" t="s">
        <v>9</v>
      </c>
      <c r="E548" s="28" t="s">
        <v>10</v>
      </c>
      <c r="F548" s="29">
        <v>79</v>
      </c>
      <c r="G548" s="29">
        <v>142</v>
      </c>
    </row>
    <row r="549" spans="1:7">
      <c r="A549" s="27">
        <v>20</v>
      </c>
      <c r="B549" s="28" t="s">
        <v>11</v>
      </c>
      <c r="C549" s="28" t="s">
        <v>15</v>
      </c>
      <c r="D549" s="29" t="s">
        <v>9</v>
      </c>
      <c r="E549" s="28" t="s">
        <v>10</v>
      </c>
      <c r="F549" s="28">
        <v>80</v>
      </c>
      <c r="G549" s="28">
        <v>260</v>
      </c>
    </row>
    <row r="550" spans="1:7">
      <c r="A550" s="27">
        <v>22</v>
      </c>
      <c r="B550" s="28" t="s">
        <v>11</v>
      </c>
      <c r="C550" s="29" t="s">
        <v>8</v>
      </c>
      <c r="D550" s="29" t="s">
        <v>9</v>
      </c>
      <c r="E550" s="28" t="s">
        <v>10</v>
      </c>
      <c r="F550" s="29">
        <v>81</v>
      </c>
      <c r="G550" s="29">
        <v>190</v>
      </c>
    </row>
    <row r="551" spans="1:7">
      <c r="A551" s="27">
        <v>25</v>
      </c>
      <c r="B551" s="28" t="s">
        <v>7</v>
      </c>
      <c r="C551" s="28" t="s">
        <v>15</v>
      </c>
      <c r="D551" s="29" t="s">
        <v>9</v>
      </c>
      <c r="E551" s="28" t="s">
        <v>16</v>
      </c>
      <c r="F551" s="29">
        <v>83</v>
      </c>
      <c r="G551" s="29">
        <v>855</v>
      </c>
    </row>
    <row r="552" spans="1:7">
      <c r="A552" s="27">
        <v>28</v>
      </c>
      <c r="B552" s="28" t="s">
        <v>11</v>
      </c>
      <c r="C552" s="29" t="s">
        <v>8</v>
      </c>
      <c r="D552" s="29" t="s">
        <v>9</v>
      </c>
      <c r="E552" s="28" t="s">
        <v>10</v>
      </c>
      <c r="F552" s="29">
        <v>87</v>
      </c>
      <c r="G552" s="29">
        <v>170</v>
      </c>
    </row>
    <row r="553" spans="1:7">
      <c r="A553" s="27">
        <v>29</v>
      </c>
      <c r="B553" s="28" t="s">
        <v>11</v>
      </c>
      <c r="C553" s="29" t="s">
        <v>8</v>
      </c>
      <c r="D553" s="29" t="s">
        <v>9</v>
      </c>
      <c r="E553" s="28" t="s">
        <v>10</v>
      </c>
      <c r="F553" s="29">
        <v>90</v>
      </c>
      <c r="G553" s="29">
        <v>189</v>
      </c>
    </row>
    <row r="554" spans="1:7">
      <c r="A554" s="27">
        <v>34</v>
      </c>
      <c r="B554" s="28" t="s">
        <v>11</v>
      </c>
      <c r="C554" s="29" t="s">
        <v>8</v>
      </c>
      <c r="D554" s="29" t="s">
        <v>9</v>
      </c>
      <c r="E554" s="28" t="s">
        <v>10</v>
      </c>
      <c r="F554" s="29">
        <v>102</v>
      </c>
      <c r="G554" s="29">
        <v>200</v>
      </c>
    </row>
    <row r="555" spans="1:7">
      <c r="A555" s="27">
        <v>42</v>
      </c>
      <c r="B555" s="28" t="s">
        <v>11</v>
      </c>
      <c r="C555" s="29" t="s">
        <v>8</v>
      </c>
      <c r="D555" s="29" t="s">
        <v>9</v>
      </c>
      <c r="E555" s="28" t="s">
        <v>16</v>
      </c>
      <c r="F555" s="29">
        <v>115</v>
      </c>
      <c r="G555" s="29">
        <v>285</v>
      </c>
    </row>
    <row r="556" spans="1:7">
      <c r="A556" s="27">
        <v>53</v>
      </c>
      <c r="B556" s="28" t="s">
        <v>11</v>
      </c>
      <c r="C556" s="29" t="s">
        <v>8</v>
      </c>
      <c r="D556" s="29" t="s">
        <v>9</v>
      </c>
      <c r="E556" s="28" t="s">
        <v>10</v>
      </c>
      <c r="F556" s="29">
        <v>136</v>
      </c>
      <c r="G556" s="29">
        <v>220</v>
      </c>
    </row>
    <row r="557" spans="1:7">
      <c r="A557" s="27">
        <v>56</v>
      </c>
      <c r="B557" s="28" t="s">
        <v>11</v>
      </c>
      <c r="C557" s="29" t="s">
        <v>8</v>
      </c>
      <c r="D557" s="29" t="s">
        <v>9</v>
      </c>
      <c r="E557" s="28" t="s">
        <v>10</v>
      </c>
      <c r="F557" s="29">
        <v>148</v>
      </c>
      <c r="G557" s="29">
        <v>186</v>
      </c>
    </row>
    <row r="558" spans="1:7">
      <c r="A558" s="27">
        <v>57</v>
      </c>
      <c r="B558" s="28" t="s">
        <v>11</v>
      </c>
      <c r="C558" s="29" t="s">
        <v>8</v>
      </c>
      <c r="D558" s="29" t="s">
        <v>9</v>
      </c>
      <c r="E558" s="28" t="s">
        <v>10</v>
      </c>
      <c r="F558" s="29">
        <v>152</v>
      </c>
      <c r="G558" s="29">
        <v>237</v>
      </c>
    </row>
    <row r="559" spans="1:7">
      <c r="A559" s="27">
        <v>58</v>
      </c>
      <c r="B559" s="28" t="s">
        <v>7</v>
      </c>
      <c r="C559" s="28" t="s">
        <v>15</v>
      </c>
      <c r="D559" s="29" t="s">
        <v>9</v>
      </c>
      <c r="E559" s="28" t="s">
        <v>16</v>
      </c>
      <c r="F559" s="29">
        <v>152</v>
      </c>
      <c r="G559" s="29">
        <v>2389</v>
      </c>
    </row>
    <row r="560" spans="1:7">
      <c r="A560" s="27">
        <v>62</v>
      </c>
      <c r="B560" s="28" t="s">
        <v>11</v>
      </c>
      <c r="C560" s="29" t="s">
        <v>8</v>
      </c>
      <c r="D560" s="29" t="s">
        <v>9</v>
      </c>
      <c r="E560" s="28" t="s">
        <v>10</v>
      </c>
      <c r="F560" s="29">
        <v>160</v>
      </c>
      <c r="G560" s="29">
        <v>242</v>
      </c>
    </row>
    <row r="561" spans="1:7">
      <c r="A561" s="27">
        <v>65</v>
      </c>
      <c r="B561" s="28" t="s">
        <v>11</v>
      </c>
      <c r="C561" s="29" t="s">
        <v>8</v>
      </c>
      <c r="D561" s="29" t="s">
        <v>9</v>
      </c>
      <c r="E561" s="28" t="s">
        <v>10</v>
      </c>
      <c r="F561" s="29">
        <v>169</v>
      </c>
      <c r="G561" s="29">
        <v>215</v>
      </c>
    </row>
    <row r="562" spans="1:7">
      <c r="A562" s="27">
        <v>66</v>
      </c>
      <c r="B562" s="28" t="s">
        <v>7</v>
      </c>
      <c r="C562" s="28" t="s">
        <v>15</v>
      </c>
      <c r="D562" s="29" t="s">
        <v>9</v>
      </c>
      <c r="E562" s="28" t="s">
        <v>16</v>
      </c>
      <c r="F562" s="29">
        <v>174</v>
      </c>
      <c r="G562" s="29">
        <v>1876</v>
      </c>
    </row>
    <row r="563" spans="1:7">
      <c r="A563" s="27">
        <v>67</v>
      </c>
      <c r="B563" s="28" t="s">
        <v>11</v>
      </c>
      <c r="C563" s="29" t="s">
        <v>8</v>
      </c>
      <c r="D563" s="29" t="s">
        <v>9</v>
      </c>
      <c r="E563" s="28" t="s">
        <v>16</v>
      </c>
      <c r="F563" s="29">
        <v>178</v>
      </c>
      <c r="G563" s="29">
        <v>290</v>
      </c>
    </row>
    <row r="564" spans="1:7">
      <c r="A564" s="27">
        <v>68</v>
      </c>
      <c r="B564" s="28" t="s">
        <v>7</v>
      </c>
      <c r="C564" s="28" t="s">
        <v>15</v>
      </c>
      <c r="D564" s="29" t="s">
        <v>9</v>
      </c>
      <c r="E564" s="28" t="s">
        <v>16</v>
      </c>
      <c r="F564" s="29">
        <v>179</v>
      </c>
      <c r="G564" s="29">
        <v>789</v>
      </c>
    </row>
    <row r="565" spans="1:7">
      <c r="A565" s="27">
        <v>69</v>
      </c>
      <c r="B565" s="28" t="s">
        <v>7</v>
      </c>
      <c r="C565" s="28" t="s">
        <v>15</v>
      </c>
      <c r="D565" s="29" t="s">
        <v>9</v>
      </c>
      <c r="E565" s="28" t="s">
        <v>16</v>
      </c>
      <c r="F565" s="29">
        <v>180</v>
      </c>
      <c r="G565" s="29">
        <v>3063</v>
      </c>
    </row>
    <row r="566" spans="1:7">
      <c r="A566" s="27">
        <v>70</v>
      </c>
      <c r="B566" s="28" t="s">
        <v>7</v>
      </c>
      <c r="C566" s="28" t="s">
        <v>15</v>
      </c>
      <c r="D566" s="29" t="s">
        <v>9</v>
      </c>
      <c r="E566" s="28" t="s">
        <v>16</v>
      </c>
      <c r="F566" s="29">
        <v>182</v>
      </c>
      <c r="G566" s="29">
        <v>2629.2</v>
      </c>
    </row>
    <row r="567" spans="1:7">
      <c r="A567" s="27">
        <v>77</v>
      </c>
      <c r="B567" s="28" t="s">
        <v>7</v>
      </c>
      <c r="C567" s="29" t="s">
        <v>8</v>
      </c>
      <c r="D567" s="29" t="s">
        <v>9</v>
      </c>
      <c r="E567" s="28" t="s">
        <v>16</v>
      </c>
      <c r="F567" s="29">
        <v>250</v>
      </c>
      <c r="G567" s="29">
        <v>400</v>
      </c>
    </row>
    <row r="569" spans="1:7">
      <c r="A569" t="s">
        <v>28</v>
      </c>
    </row>
    <row r="570" spans="1:7" ht="20">
      <c r="A570" s="13" t="s">
        <v>29</v>
      </c>
    </row>
    <row r="571" spans="1:7" ht="17">
      <c r="A571" s="14" t="s">
        <v>30</v>
      </c>
      <c r="B571" s="14" t="s">
        <v>6</v>
      </c>
      <c r="C571" s="14"/>
      <c r="D571" s="14"/>
      <c r="E571" s="14"/>
      <c r="F571" s="14"/>
      <c r="G571" s="14"/>
    </row>
    <row r="572" spans="1:7" ht="17">
      <c r="A572" s="14">
        <v>21</v>
      </c>
      <c r="B572" s="14">
        <v>3063</v>
      </c>
      <c r="C572" s="14"/>
      <c r="D572" s="14"/>
      <c r="E572" s="14"/>
      <c r="F572" s="14"/>
      <c r="G572" s="14"/>
    </row>
    <row r="573" spans="1:7" ht="17">
      <c r="A573" s="14">
        <v>23</v>
      </c>
      <c r="B573" s="14">
        <v>400</v>
      </c>
      <c r="C573" s="14"/>
      <c r="D573" s="14"/>
      <c r="E573" s="14"/>
      <c r="F573" s="14"/>
      <c r="G573" s="14"/>
    </row>
    <row r="575" spans="1:7" ht="32">
      <c r="A575" s="1" t="s">
        <v>0</v>
      </c>
      <c r="B575" s="23" t="s">
        <v>1</v>
      </c>
      <c r="C575" s="24" t="s">
        <v>2</v>
      </c>
      <c r="D575" s="24" t="s">
        <v>3</v>
      </c>
      <c r="E575" s="25" t="s">
        <v>4</v>
      </c>
      <c r="F575" s="26" t="s">
        <v>5</v>
      </c>
      <c r="G575" s="26" t="s">
        <v>6</v>
      </c>
    </row>
    <row r="576" spans="1:7">
      <c r="A576" s="27">
        <v>1</v>
      </c>
      <c r="B576" s="28" t="s">
        <v>7</v>
      </c>
      <c r="C576" s="29" t="s">
        <v>8</v>
      </c>
      <c r="D576" s="29" t="s">
        <v>9</v>
      </c>
      <c r="E576" s="28" t="s">
        <v>10</v>
      </c>
      <c r="F576" s="29">
        <v>25</v>
      </c>
      <c r="G576" s="29">
        <v>118</v>
      </c>
    </row>
    <row r="577" spans="1:7">
      <c r="A577" s="27">
        <v>5</v>
      </c>
      <c r="B577" s="28" t="s">
        <v>7</v>
      </c>
      <c r="C577" s="28" t="s">
        <v>15</v>
      </c>
      <c r="D577" s="29" t="s">
        <v>9</v>
      </c>
      <c r="E577" s="28" t="s">
        <v>16</v>
      </c>
      <c r="F577" s="29">
        <v>46</v>
      </c>
      <c r="G577" s="29">
        <v>1009</v>
      </c>
    </row>
    <row r="578" spans="1:7">
      <c r="A578" s="27">
        <v>6</v>
      </c>
      <c r="B578" s="28" t="s">
        <v>11</v>
      </c>
      <c r="C578" s="29" t="s">
        <v>8</v>
      </c>
      <c r="D578" s="29" t="s">
        <v>9</v>
      </c>
      <c r="E578" s="28" t="s">
        <v>10</v>
      </c>
      <c r="F578" s="29">
        <v>51</v>
      </c>
      <c r="G578" s="29">
        <v>52</v>
      </c>
    </row>
    <row r="579" spans="1:7">
      <c r="A579" s="27">
        <v>18</v>
      </c>
      <c r="B579" s="28" t="s">
        <v>11</v>
      </c>
      <c r="C579" s="29" t="s">
        <v>8</v>
      </c>
      <c r="D579" s="29" t="s">
        <v>9</v>
      </c>
      <c r="E579" s="28" t="s">
        <v>10</v>
      </c>
      <c r="F579" s="29">
        <v>79</v>
      </c>
      <c r="G579" s="29">
        <v>142</v>
      </c>
    </row>
    <row r="580" spans="1:7">
      <c r="A580" s="27">
        <v>20</v>
      </c>
      <c r="B580" s="28" t="s">
        <v>11</v>
      </c>
      <c r="C580" s="28" t="s">
        <v>15</v>
      </c>
      <c r="D580" s="29" t="s">
        <v>9</v>
      </c>
      <c r="E580" s="28" t="s">
        <v>10</v>
      </c>
      <c r="F580" s="28">
        <v>80</v>
      </c>
      <c r="G580" s="28">
        <v>260</v>
      </c>
    </row>
    <row r="581" spans="1:7">
      <c r="A581" s="27">
        <v>22</v>
      </c>
      <c r="B581" s="28" t="s">
        <v>11</v>
      </c>
      <c r="C581" s="29" t="s">
        <v>8</v>
      </c>
      <c r="D581" s="29" t="s">
        <v>9</v>
      </c>
      <c r="E581" s="28" t="s">
        <v>10</v>
      </c>
      <c r="F581" s="29">
        <v>81</v>
      </c>
      <c r="G581" s="29">
        <v>190</v>
      </c>
    </row>
    <row r="582" spans="1:7">
      <c r="A582" s="27">
        <v>25</v>
      </c>
      <c r="B582" s="28" t="s">
        <v>7</v>
      </c>
      <c r="C582" s="28" t="s">
        <v>15</v>
      </c>
      <c r="D582" s="29" t="s">
        <v>9</v>
      </c>
      <c r="E582" s="28" t="s">
        <v>16</v>
      </c>
      <c r="F582" s="29">
        <v>83</v>
      </c>
      <c r="G582" s="29">
        <v>855</v>
      </c>
    </row>
    <row r="583" spans="1:7">
      <c r="A583" s="27">
        <v>28</v>
      </c>
      <c r="B583" s="28" t="s">
        <v>11</v>
      </c>
      <c r="C583" s="29" t="s">
        <v>8</v>
      </c>
      <c r="D583" s="29" t="s">
        <v>9</v>
      </c>
      <c r="E583" s="28" t="s">
        <v>10</v>
      </c>
      <c r="F583" s="29">
        <v>87</v>
      </c>
      <c r="G583" s="29">
        <v>170</v>
      </c>
    </row>
    <row r="584" spans="1:7">
      <c r="A584" s="27">
        <v>29</v>
      </c>
      <c r="B584" s="28" t="s">
        <v>11</v>
      </c>
      <c r="C584" s="29" t="s">
        <v>8</v>
      </c>
      <c r="D584" s="29" t="s">
        <v>9</v>
      </c>
      <c r="E584" s="28" t="s">
        <v>10</v>
      </c>
      <c r="F584" s="29">
        <v>90</v>
      </c>
      <c r="G584" s="29">
        <v>189</v>
      </c>
    </row>
    <row r="585" spans="1:7">
      <c r="A585" s="27">
        <v>34</v>
      </c>
      <c r="B585" s="28" t="s">
        <v>11</v>
      </c>
      <c r="C585" s="29" t="s">
        <v>8</v>
      </c>
      <c r="D585" s="29" t="s">
        <v>9</v>
      </c>
      <c r="E585" s="28" t="s">
        <v>10</v>
      </c>
      <c r="F585" s="29">
        <v>102</v>
      </c>
      <c r="G585" s="29">
        <v>200</v>
      </c>
    </row>
    <row r="586" spans="1:7">
      <c r="A586" s="27">
        <v>42</v>
      </c>
      <c r="B586" s="28" t="s">
        <v>11</v>
      </c>
      <c r="C586" s="29" t="s">
        <v>8</v>
      </c>
      <c r="D586" s="29" t="s">
        <v>9</v>
      </c>
      <c r="E586" s="28" t="s">
        <v>16</v>
      </c>
      <c r="F586" s="29">
        <v>115</v>
      </c>
      <c r="G586" s="29">
        <v>285</v>
      </c>
    </row>
    <row r="587" spans="1:7">
      <c r="A587" s="27">
        <v>53</v>
      </c>
      <c r="B587" s="28" t="s">
        <v>11</v>
      </c>
      <c r="C587" s="29" t="s">
        <v>8</v>
      </c>
      <c r="D587" s="29" t="s">
        <v>9</v>
      </c>
      <c r="E587" s="28" t="s">
        <v>10</v>
      </c>
      <c r="F587" s="29">
        <v>136</v>
      </c>
      <c r="G587" s="29">
        <v>220</v>
      </c>
    </row>
    <row r="588" spans="1:7">
      <c r="A588" s="27">
        <v>56</v>
      </c>
      <c r="B588" s="28" t="s">
        <v>11</v>
      </c>
      <c r="C588" s="29" t="s">
        <v>8</v>
      </c>
      <c r="D588" s="29" t="s">
        <v>9</v>
      </c>
      <c r="E588" s="28" t="s">
        <v>10</v>
      </c>
      <c r="F588" s="29">
        <v>148</v>
      </c>
      <c r="G588" s="29">
        <v>186</v>
      </c>
    </row>
    <row r="589" spans="1:7">
      <c r="A589" s="27">
        <v>57</v>
      </c>
      <c r="B589" s="28" t="s">
        <v>11</v>
      </c>
      <c r="C589" s="29" t="s">
        <v>8</v>
      </c>
      <c r="D589" s="29" t="s">
        <v>9</v>
      </c>
      <c r="E589" s="28" t="s">
        <v>10</v>
      </c>
      <c r="F589" s="29">
        <v>152</v>
      </c>
      <c r="G589" s="29">
        <v>237</v>
      </c>
    </row>
    <row r="590" spans="1:7">
      <c r="A590" s="27">
        <v>58</v>
      </c>
      <c r="B590" s="28" t="s">
        <v>7</v>
      </c>
      <c r="C590" s="28" t="s">
        <v>15</v>
      </c>
      <c r="D590" s="29" t="s">
        <v>9</v>
      </c>
      <c r="E590" s="28" t="s">
        <v>16</v>
      </c>
      <c r="F590" s="29">
        <v>152</v>
      </c>
      <c r="G590" s="29">
        <v>2389</v>
      </c>
    </row>
    <row r="591" spans="1:7">
      <c r="A591" s="27">
        <v>62</v>
      </c>
      <c r="B591" s="28" t="s">
        <v>11</v>
      </c>
      <c r="C591" s="29" t="s">
        <v>8</v>
      </c>
      <c r="D591" s="29" t="s">
        <v>9</v>
      </c>
      <c r="E591" s="28" t="s">
        <v>10</v>
      </c>
      <c r="F591" s="29">
        <v>160</v>
      </c>
      <c r="G591" s="29">
        <v>242</v>
      </c>
    </row>
    <row r="592" spans="1:7">
      <c r="A592" s="27">
        <v>65</v>
      </c>
      <c r="B592" s="28" t="s">
        <v>11</v>
      </c>
      <c r="C592" s="29" t="s">
        <v>8</v>
      </c>
      <c r="D592" s="29" t="s">
        <v>9</v>
      </c>
      <c r="E592" s="28" t="s">
        <v>10</v>
      </c>
      <c r="F592" s="29">
        <v>169</v>
      </c>
      <c r="G592" s="29">
        <v>215</v>
      </c>
    </row>
    <row r="593" spans="1:8">
      <c r="A593" s="27">
        <v>66</v>
      </c>
      <c r="B593" s="28" t="s">
        <v>7</v>
      </c>
      <c r="C593" s="28" t="s">
        <v>15</v>
      </c>
      <c r="D593" s="29" t="s">
        <v>9</v>
      </c>
      <c r="E593" s="28" t="s">
        <v>16</v>
      </c>
      <c r="F593" s="29">
        <v>174</v>
      </c>
      <c r="G593" s="29">
        <v>1876</v>
      </c>
    </row>
    <row r="594" spans="1:8">
      <c r="A594" s="27">
        <v>67</v>
      </c>
      <c r="B594" s="28" t="s">
        <v>11</v>
      </c>
      <c r="C594" s="29" t="s">
        <v>8</v>
      </c>
      <c r="D594" s="29" t="s">
        <v>9</v>
      </c>
      <c r="E594" s="28" t="s">
        <v>16</v>
      </c>
      <c r="F594" s="29">
        <v>178</v>
      </c>
      <c r="G594" s="29">
        <v>290</v>
      </c>
    </row>
    <row r="595" spans="1:8">
      <c r="A595" s="27">
        <v>68</v>
      </c>
      <c r="B595" s="28" t="s">
        <v>7</v>
      </c>
      <c r="C595" s="28" t="s">
        <v>15</v>
      </c>
      <c r="D595" s="29" t="s">
        <v>9</v>
      </c>
      <c r="E595" s="28" t="s">
        <v>16</v>
      </c>
      <c r="F595" s="29">
        <v>179</v>
      </c>
      <c r="G595" s="29">
        <v>789</v>
      </c>
    </row>
    <row r="596" spans="1:8">
      <c r="A596" s="27">
        <v>69</v>
      </c>
      <c r="B596" s="28" t="s">
        <v>7</v>
      </c>
      <c r="C596" s="28" t="s">
        <v>15</v>
      </c>
      <c r="D596" s="29" t="s">
        <v>9</v>
      </c>
      <c r="E596" s="28" t="s">
        <v>16</v>
      </c>
      <c r="F596" s="29">
        <v>180</v>
      </c>
      <c r="G596" s="29">
        <v>3063</v>
      </c>
      <c r="H596" s="31" t="s">
        <v>31</v>
      </c>
    </row>
    <row r="597" spans="1:8">
      <c r="A597" s="27">
        <v>70</v>
      </c>
      <c r="B597" s="28" t="s">
        <v>7</v>
      </c>
      <c r="C597" s="28" t="s">
        <v>15</v>
      </c>
      <c r="D597" s="29" t="s">
        <v>9</v>
      </c>
      <c r="E597" s="28" t="s">
        <v>16</v>
      </c>
      <c r="F597" s="29">
        <v>182</v>
      </c>
      <c r="G597" s="29">
        <v>2629.2</v>
      </c>
    </row>
    <row r="598" spans="1:8">
      <c r="A598" s="27">
        <v>77</v>
      </c>
      <c r="B598" s="28" t="s">
        <v>7</v>
      </c>
      <c r="C598" s="29" t="s">
        <v>8</v>
      </c>
      <c r="D598" s="29" t="s">
        <v>9</v>
      </c>
      <c r="E598" s="28" t="s">
        <v>16</v>
      </c>
      <c r="F598" s="29">
        <v>250</v>
      </c>
      <c r="G598" s="29">
        <v>400</v>
      </c>
      <c r="H598" s="31" t="s">
        <v>31</v>
      </c>
    </row>
    <row r="601" spans="1:8" ht="32">
      <c r="A601" s="1" t="s">
        <v>0</v>
      </c>
      <c r="B601" s="23" t="s">
        <v>1</v>
      </c>
      <c r="C601" s="24" t="s">
        <v>2</v>
      </c>
      <c r="D601" s="24" t="s">
        <v>3</v>
      </c>
      <c r="E601" s="25" t="s">
        <v>4</v>
      </c>
      <c r="F601" s="26" t="s">
        <v>5</v>
      </c>
      <c r="G601" s="26" t="s">
        <v>6</v>
      </c>
    </row>
    <row r="602" spans="1:8">
      <c r="A602" s="27">
        <v>1</v>
      </c>
      <c r="B602" s="28" t="s">
        <v>7</v>
      </c>
      <c r="C602" s="29" t="s">
        <v>8</v>
      </c>
      <c r="D602" s="29" t="s">
        <v>9</v>
      </c>
      <c r="E602" s="28" t="s">
        <v>10</v>
      </c>
      <c r="F602" s="29">
        <v>25</v>
      </c>
      <c r="G602" s="29">
        <v>118</v>
      </c>
    </row>
    <row r="603" spans="1:8">
      <c r="A603" s="27">
        <v>5</v>
      </c>
      <c r="B603" s="28" t="s">
        <v>7</v>
      </c>
      <c r="C603" s="28" t="s">
        <v>15</v>
      </c>
      <c r="D603" s="29" t="s">
        <v>9</v>
      </c>
      <c r="E603" s="28" t="s">
        <v>16</v>
      </c>
      <c r="F603" s="29">
        <v>46</v>
      </c>
      <c r="G603" s="29">
        <v>1009</v>
      </c>
    </row>
    <row r="604" spans="1:8">
      <c r="A604" s="27">
        <v>6</v>
      </c>
      <c r="B604" s="28" t="s">
        <v>11</v>
      </c>
      <c r="C604" s="29" t="s">
        <v>8</v>
      </c>
      <c r="D604" s="29" t="s">
        <v>9</v>
      </c>
      <c r="E604" s="28" t="s">
        <v>10</v>
      </c>
      <c r="F604" s="29">
        <v>51</v>
      </c>
      <c r="G604" s="29">
        <v>52</v>
      </c>
    </row>
    <row r="605" spans="1:8">
      <c r="A605" s="27">
        <v>18</v>
      </c>
      <c r="B605" s="28" t="s">
        <v>11</v>
      </c>
      <c r="C605" s="29" t="s">
        <v>8</v>
      </c>
      <c r="D605" s="29" t="s">
        <v>9</v>
      </c>
      <c r="E605" s="28" t="s">
        <v>10</v>
      </c>
      <c r="F605" s="29">
        <v>79</v>
      </c>
      <c r="G605" s="29">
        <v>142</v>
      </c>
    </row>
    <row r="606" spans="1:8">
      <c r="A606" s="27">
        <v>20</v>
      </c>
      <c r="B606" s="28" t="s">
        <v>11</v>
      </c>
      <c r="C606" s="28" t="s">
        <v>15</v>
      </c>
      <c r="D606" s="29" t="s">
        <v>9</v>
      </c>
      <c r="E606" s="28" t="s">
        <v>10</v>
      </c>
      <c r="F606" s="28">
        <v>80</v>
      </c>
      <c r="G606" s="28">
        <v>260</v>
      </c>
    </row>
    <row r="607" spans="1:8">
      <c r="A607" s="27">
        <v>22</v>
      </c>
      <c r="B607" s="28" t="s">
        <v>11</v>
      </c>
      <c r="C607" s="29" t="s">
        <v>8</v>
      </c>
      <c r="D607" s="29" t="s">
        <v>9</v>
      </c>
      <c r="E607" s="28" t="s">
        <v>10</v>
      </c>
      <c r="F607" s="29">
        <v>81</v>
      </c>
      <c r="G607" s="29">
        <v>190</v>
      </c>
    </row>
    <row r="608" spans="1:8">
      <c r="A608" s="27">
        <v>25</v>
      </c>
      <c r="B608" s="28" t="s">
        <v>7</v>
      </c>
      <c r="C608" s="28" t="s">
        <v>15</v>
      </c>
      <c r="D608" s="29" t="s">
        <v>9</v>
      </c>
      <c r="E608" s="28" t="s">
        <v>16</v>
      </c>
      <c r="F608" s="29">
        <v>83</v>
      </c>
      <c r="G608" s="29">
        <v>855</v>
      </c>
    </row>
    <row r="609" spans="1:7">
      <c r="A609" s="27">
        <v>28</v>
      </c>
      <c r="B609" s="28" t="s">
        <v>11</v>
      </c>
      <c r="C609" s="29" t="s">
        <v>8</v>
      </c>
      <c r="D609" s="29" t="s">
        <v>9</v>
      </c>
      <c r="E609" s="28" t="s">
        <v>10</v>
      </c>
      <c r="F609" s="29">
        <v>87</v>
      </c>
      <c r="G609" s="29">
        <v>170</v>
      </c>
    </row>
    <row r="610" spans="1:7">
      <c r="A610" s="27">
        <v>29</v>
      </c>
      <c r="B610" s="28" t="s">
        <v>11</v>
      </c>
      <c r="C610" s="29" t="s">
        <v>8</v>
      </c>
      <c r="D610" s="29" t="s">
        <v>9</v>
      </c>
      <c r="E610" s="28" t="s">
        <v>10</v>
      </c>
      <c r="F610" s="29">
        <v>90</v>
      </c>
      <c r="G610" s="29">
        <v>189</v>
      </c>
    </row>
    <row r="611" spans="1:7">
      <c r="A611" s="27">
        <v>34</v>
      </c>
      <c r="B611" s="28" t="s">
        <v>11</v>
      </c>
      <c r="C611" s="29" t="s">
        <v>8</v>
      </c>
      <c r="D611" s="29" t="s">
        <v>9</v>
      </c>
      <c r="E611" s="28" t="s">
        <v>10</v>
      </c>
      <c r="F611" s="29">
        <v>102</v>
      </c>
      <c r="G611" s="29">
        <v>200</v>
      </c>
    </row>
    <row r="612" spans="1:7">
      <c r="A612" s="27">
        <v>42</v>
      </c>
      <c r="B612" s="28" t="s">
        <v>11</v>
      </c>
      <c r="C612" s="29" t="s">
        <v>8</v>
      </c>
      <c r="D612" s="29" t="s">
        <v>9</v>
      </c>
      <c r="E612" s="28" t="s">
        <v>16</v>
      </c>
      <c r="F612" s="29">
        <v>115</v>
      </c>
      <c r="G612" s="29">
        <v>285</v>
      </c>
    </row>
    <row r="613" spans="1:7">
      <c r="A613" s="27">
        <v>53</v>
      </c>
      <c r="B613" s="28" t="s">
        <v>11</v>
      </c>
      <c r="C613" s="29" t="s">
        <v>8</v>
      </c>
      <c r="D613" s="29" t="s">
        <v>9</v>
      </c>
      <c r="E613" s="28" t="s">
        <v>10</v>
      </c>
      <c r="F613" s="29">
        <v>136</v>
      </c>
      <c r="G613" s="29">
        <v>220</v>
      </c>
    </row>
    <row r="614" spans="1:7">
      <c r="A614" s="27">
        <v>56</v>
      </c>
      <c r="B614" s="28" t="s">
        <v>11</v>
      </c>
      <c r="C614" s="29" t="s">
        <v>8</v>
      </c>
      <c r="D614" s="29" t="s">
        <v>9</v>
      </c>
      <c r="E614" s="28" t="s">
        <v>10</v>
      </c>
      <c r="F614" s="29">
        <v>148</v>
      </c>
      <c r="G614" s="29">
        <v>186</v>
      </c>
    </row>
    <row r="615" spans="1:7">
      <c r="A615" s="27">
        <v>57</v>
      </c>
      <c r="B615" s="28" t="s">
        <v>11</v>
      </c>
      <c r="C615" s="29" t="s">
        <v>8</v>
      </c>
      <c r="D615" s="29" t="s">
        <v>9</v>
      </c>
      <c r="E615" s="28" t="s">
        <v>10</v>
      </c>
      <c r="F615" s="29">
        <v>152</v>
      </c>
      <c r="G615" s="29">
        <v>237</v>
      </c>
    </row>
    <row r="616" spans="1:7">
      <c r="A616" s="27">
        <v>58</v>
      </c>
      <c r="B616" s="28" t="s">
        <v>7</v>
      </c>
      <c r="C616" s="28" t="s">
        <v>15</v>
      </c>
      <c r="D616" s="29" t="s">
        <v>9</v>
      </c>
      <c r="E616" s="28" t="s">
        <v>16</v>
      </c>
      <c r="F616" s="29">
        <v>152</v>
      </c>
      <c r="G616" s="29">
        <v>2389</v>
      </c>
    </row>
    <row r="617" spans="1:7">
      <c r="A617" s="27">
        <v>62</v>
      </c>
      <c r="B617" s="28" t="s">
        <v>11</v>
      </c>
      <c r="C617" s="29" t="s">
        <v>8</v>
      </c>
      <c r="D617" s="29" t="s">
        <v>9</v>
      </c>
      <c r="E617" s="28" t="s">
        <v>10</v>
      </c>
      <c r="F617" s="29">
        <v>160</v>
      </c>
      <c r="G617" s="29">
        <v>242</v>
      </c>
    </row>
    <row r="618" spans="1:7">
      <c r="A618" s="27">
        <v>65</v>
      </c>
      <c r="B618" s="28" t="s">
        <v>11</v>
      </c>
      <c r="C618" s="29" t="s">
        <v>8</v>
      </c>
      <c r="D618" s="29" t="s">
        <v>9</v>
      </c>
      <c r="E618" s="28" t="s">
        <v>10</v>
      </c>
      <c r="F618" s="29">
        <v>169</v>
      </c>
      <c r="G618" s="29">
        <v>215</v>
      </c>
    </row>
    <row r="619" spans="1:7">
      <c r="A619" s="27">
        <v>66</v>
      </c>
      <c r="B619" s="28" t="s">
        <v>7</v>
      </c>
      <c r="C619" s="28" t="s">
        <v>15</v>
      </c>
      <c r="D619" s="29" t="s">
        <v>9</v>
      </c>
      <c r="E619" s="28" t="s">
        <v>16</v>
      </c>
      <c r="F619" s="29">
        <v>174</v>
      </c>
      <c r="G619" s="29">
        <v>1876</v>
      </c>
    </row>
    <row r="620" spans="1:7">
      <c r="A620" s="27">
        <v>67</v>
      </c>
      <c r="B620" s="28" t="s">
        <v>11</v>
      </c>
      <c r="C620" s="29" t="s">
        <v>8</v>
      </c>
      <c r="D620" s="29" t="s">
        <v>9</v>
      </c>
      <c r="E620" s="28" t="s">
        <v>16</v>
      </c>
      <c r="F620" s="29">
        <v>178</v>
      </c>
      <c r="G620" s="29">
        <v>290</v>
      </c>
    </row>
    <row r="621" spans="1:7">
      <c r="A621" s="27">
        <v>68</v>
      </c>
      <c r="B621" s="28" t="s">
        <v>7</v>
      </c>
      <c r="C621" s="28" t="s">
        <v>15</v>
      </c>
      <c r="D621" s="29" t="s">
        <v>9</v>
      </c>
      <c r="E621" s="28" t="s">
        <v>16</v>
      </c>
      <c r="F621" s="29">
        <v>179</v>
      </c>
      <c r="G621" s="29">
        <v>789</v>
      </c>
    </row>
    <row r="622" spans="1:7">
      <c r="A622" s="27">
        <v>70</v>
      </c>
      <c r="B622" s="28" t="s">
        <v>7</v>
      </c>
      <c r="C622" s="28" t="s">
        <v>15</v>
      </c>
      <c r="D622" s="29" t="s">
        <v>9</v>
      </c>
      <c r="E622" s="28" t="s">
        <v>16</v>
      </c>
      <c r="F622" s="29">
        <v>182</v>
      </c>
      <c r="G622" s="29">
        <v>2629.2</v>
      </c>
    </row>
    <row r="624" spans="1:7">
      <c r="A624" t="s">
        <v>28</v>
      </c>
    </row>
    <row r="625" spans="1:7" ht="20">
      <c r="A625" s="13" t="s">
        <v>29</v>
      </c>
    </row>
    <row r="626" spans="1:7" ht="17">
      <c r="A626" s="14" t="s">
        <v>30</v>
      </c>
      <c r="B626" s="14" t="s">
        <v>6</v>
      </c>
      <c r="C626" s="14"/>
      <c r="D626" s="14"/>
      <c r="E626" s="14"/>
      <c r="F626" s="14"/>
    </row>
    <row r="627" spans="1:7" ht="17">
      <c r="A627" s="14">
        <v>15</v>
      </c>
      <c r="B627" s="14">
        <v>2389</v>
      </c>
      <c r="C627" s="14"/>
      <c r="D627" s="14"/>
      <c r="E627" s="14"/>
      <c r="F627" s="14"/>
    </row>
    <row r="628" spans="1:7" ht="17">
      <c r="A628" s="14">
        <v>21</v>
      </c>
      <c r="B628" s="14">
        <v>2629.2</v>
      </c>
      <c r="C628" s="14"/>
      <c r="D628" s="14"/>
      <c r="E628" s="14"/>
      <c r="F628" s="14"/>
    </row>
    <row r="630" spans="1:7" ht="32">
      <c r="A630" s="1" t="s">
        <v>0</v>
      </c>
      <c r="B630" s="23" t="s">
        <v>1</v>
      </c>
      <c r="C630" s="24" t="s">
        <v>2</v>
      </c>
      <c r="D630" s="24" t="s">
        <v>3</v>
      </c>
      <c r="E630" s="25" t="s">
        <v>4</v>
      </c>
      <c r="F630" s="26" t="s">
        <v>5</v>
      </c>
      <c r="G630" s="26" t="s">
        <v>6</v>
      </c>
    </row>
    <row r="631" spans="1:7">
      <c r="A631" s="27">
        <v>1</v>
      </c>
      <c r="B631" s="28" t="s">
        <v>7</v>
      </c>
      <c r="C631" s="29" t="s">
        <v>8</v>
      </c>
      <c r="D631" s="29" t="s">
        <v>9</v>
      </c>
      <c r="E631" s="28" t="s">
        <v>10</v>
      </c>
      <c r="F631" s="29">
        <v>25</v>
      </c>
      <c r="G631" s="29">
        <v>118</v>
      </c>
    </row>
    <row r="632" spans="1:7">
      <c r="A632" s="27">
        <v>5</v>
      </c>
      <c r="B632" s="28" t="s">
        <v>7</v>
      </c>
      <c r="C632" s="28" t="s">
        <v>15</v>
      </c>
      <c r="D632" s="29" t="s">
        <v>9</v>
      </c>
      <c r="E632" s="28" t="s">
        <v>16</v>
      </c>
      <c r="F632" s="29">
        <v>46</v>
      </c>
      <c r="G632" s="29">
        <v>1009</v>
      </c>
    </row>
    <row r="633" spans="1:7">
      <c r="A633" s="27">
        <v>6</v>
      </c>
      <c r="B633" s="28" t="s">
        <v>11</v>
      </c>
      <c r="C633" s="29" t="s">
        <v>8</v>
      </c>
      <c r="D633" s="29" t="s">
        <v>9</v>
      </c>
      <c r="E633" s="28" t="s">
        <v>10</v>
      </c>
      <c r="F633" s="29">
        <v>51</v>
      </c>
      <c r="G633" s="29">
        <v>52</v>
      </c>
    </row>
    <row r="634" spans="1:7">
      <c r="A634" s="27">
        <v>18</v>
      </c>
      <c r="B634" s="28" t="s">
        <v>11</v>
      </c>
      <c r="C634" s="29" t="s">
        <v>8</v>
      </c>
      <c r="D634" s="29" t="s">
        <v>9</v>
      </c>
      <c r="E634" s="28" t="s">
        <v>10</v>
      </c>
      <c r="F634" s="29">
        <v>79</v>
      </c>
      <c r="G634" s="29">
        <v>142</v>
      </c>
    </row>
    <row r="635" spans="1:7">
      <c r="A635" s="27">
        <v>20</v>
      </c>
      <c r="B635" s="28" t="s">
        <v>11</v>
      </c>
      <c r="C635" s="28" t="s">
        <v>15</v>
      </c>
      <c r="D635" s="29" t="s">
        <v>9</v>
      </c>
      <c r="E635" s="28" t="s">
        <v>10</v>
      </c>
      <c r="F635" s="28">
        <v>80</v>
      </c>
      <c r="G635" s="28">
        <v>260</v>
      </c>
    </row>
    <row r="636" spans="1:7">
      <c r="A636" s="27">
        <v>22</v>
      </c>
      <c r="B636" s="28" t="s">
        <v>11</v>
      </c>
      <c r="C636" s="29" t="s">
        <v>8</v>
      </c>
      <c r="D636" s="29" t="s">
        <v>9</v>
      </c>
      <c r="E636" s="28" t="s">
        <v>10</v>
      </c>
      <c r="F636" s="29">
        <v>81</v>
      </c>
      <c r="G636" s="29">
        <v>190</v>
      </c>
    </row>
    <row r="637" spans="1:7">
      <c r="A637" s="27">
        <v>25</v>
      </c>
      <c r="B637" s="28" t="s">
        <v>7</v>
      </c>
      <c r="C637" s="28" t="s">
        <v>15</v>
      </c>
      <c r="D637" s="29" t="s">
        <v>9</v>
      </c>
      <c r="E637" s="28" t="s">
        <v>16</v>
      </c>
      <c r="F637" s="29">
        <v>83</v>
      </c>
      <c r="G637" s="29">
        <v>855</v>
      </c>
    </row>
    <row r="638" spans="1:7">
      <c r="A638" s="27">
        <v>28</v>
      </c>
      <c r="B638" s="28" t="s">
        <v>11</v>
      </c>
      <c r="C638" s="29" t="s">
        <v>8</v>
      </c>
      <c r="D638" s="29" t="s">
        <v>9</v>
      </c>
      <c r="E638" s="28" t="s">
        <v>10</v>
      </c>
      <c r="F638" s="29">
        <v>87</v>
      </c>
      <c r="G638" s="29">
        <v>170</v>
      </c>
    </row>
    <row r="639" spans="1:7">
      <c r="A639" s="27">
        <v>29</v>
      </c>
      <c r="B639" s="28" t="s">
        <v>11</v>
      </c>
      <c r="C639" s="29" t="s">
        <v>8</v>
      </c>
      <c r="D639" s="29" t="s">
        <v>9</v>
      </c>
      <c r="E639" s="28" t="s">
        <v>10</v>
      </c>
      <c r="F639" s="29">
        <v>90</v>
      </c>
      <c r="G639" s="29">
        <v>189</v>
      </c>
    </row>
    <row r="640" spans="1:7">
      <c r="A640" s="27">
        <v>34</v>
      </c>
      <c r="B640" s="28" t="s">
        <v>11</v>
      </c>
      <c r="C640" s="29" t="s">
        <v>8</v>
      </c>
      <c r="D640" s="29" t="s">
        <v>9</v>
      </c>
      <c r="E640" s="28" t="s">
        <v>10</v>
      </c>
      <c r="F640" s="29">
        <v>102</v>
      </c>
      <c r="G640" s="29">
        <v>200</v>
      </c>
    </row>
    <row r="641" spans="1:8">
      <c r="A641" s="27">
        <v>42</v>
      </c>
      <c r="B641" s="28" t="s">
        <v>11</v>
      </c>
      <c r="C641" s="29" t="s">
        <v>8</v>
      </c>
      <c r="D641" s="29" t="s">
        <v>9</v>
      </c>
      <c r="E641" s="28" t="s">
        <v>16</v>
      </c>
      <c r="F641" s="29">
        <v>115</v>
      </c>
      <c r="G641" s="29">
        <v>285</v>
      </c>
    </row>
    <row r="642" spans="1:8">
      <c r="A642" s="27">
        <v>53</v>
      </c>
      <c r="B642" s="28" t="s">
        <v>11</v>
      </c>
      <c r="C642" s="29" t="s">
        <v>8</v>
      </c>
      <c r="D642" s="29" t="s">
        <v>9</v>
      </c>
      <c r="E642" s="28" t="s">
        <v>10</v>
      </c>
      <c r="F642" s="29">
        <v>136</v>
      </c>
      <c r="G642" s="29">
        <v>220</v>
      </c>
    </row>
    <row r="643" spans="1:8">
      <c r="A643" s="27">
        <v>56</v>
      </c>
      <c r="B643" s="28" t="s">
        <v>11</v>
      </c>
      <c r="C643" s="29" t="s">
        <v>8</v>
      </c>
      <c r="D643" s="29" t="s">
        <v>9</v>
      </c>
      <c r="E643" s="28" t="s">
        <v>10</v>
      </c>
      <c r="F643" s="29">
        <v>148</v>
      </c>
      <c r="G643" s="29">
        <v>186</v>
      </c>
    </row>
    <row r="644" spans="1:8">
      <c r="A644" s="27">
        <v>57</v>
      </c>
      <c r="B644" s="28" t="s">
        <v>11</v>
      </c>
      <c r="C644" s="29" t="s">
        <v>8</v>
      </c>
      <c r="D644" s="29" t="s">
        <v>9</v>
      </c>
      <c r="E644" s="28" t="s">
        <v>10</v>
      </c>
      <c r="F644" s="29">
        <v>152</v>
      </c>
      <c r="G644" s="29">
        <v>237</v>
      </c>
    </row>
    <row r="645" spans="1:8">
      <c r="A645" s="27">
        <v>58</v>
      </c>
      <c r="B645" s="28" t="s">
        <v>7</v>
      </c>
      <c r="C645" s="28" t="s">
        <v>15</v>
      </c>
      <c r="D645" s="29" t="s">
        <v>9</v>
      </c>
      <c r="E645" s="28" t="s">
        <v>16</v>
      </c>
      <c r="F645" s="29">
        <v>152</v>
      </c>
      <c r="G645" s="29">
        <v>2389</v>
      </c>
      <c r="H645" s="31" t="s">
        <v>31</v>
      </c>
    </row>
    <row r="646" spans="1:8">
      <c r="A646" s="27">
        <v>62</v>
      </c>
      <c r="B646" s="28" t="s">
        <v>11</v>
      </c>
      <c r="C646" s="29" t="s">
        <v>8</v>
      </c>
      <c r="D646" s="29" t="s">
        <v>9</v>
      </c>
      <c r="E646" s="28" t="s">
        <v>10</v>
      </c>
      <c r="F646" s="29">
        <v>160</v>
      </c>
      <c r="G646" s="29">
        <v>242</v>
      </c>
    </row>
    <row r="647" spans="1:8">
      <c r="A647" s="27">
        <v>65</v>
      </c>
      <c r="B647" s="28" t="s">
        <v>11</v>
      </c>
      <c r="C647" s="29" t="s">
        <v>8</v>
      </c>
      <c r="D647" s="29" t="s">
        <v>9</v>
      </c>
      <c r="E647" s="28" t="s">
        <v>10</v>
      </c>
      <c r="F647" s="29">
        <v>169</v>
      </c>
      <c r="G647" s="29">
        <v>215</v>
      </c>
    </row>
    <row r="648" spans="1:8">
      <c r="A648" s="27">
        <v>66</v>
      </c>
      <c r="B648" s="28" t="s">
        <v>7</v>
      </c>
      <c r="C648" s="28" t="s">
        <v>15</v>
      </c>
      <c r="D648" s="29" t="s">
        <v>9</v>
      </c>
      <c r="E648" s="28" t="s">
        <v>16</v>
      </c>
      <c r="F648" s="29">
        <v>174</v>
      </c>
      <c r="G648" s="29">
        <v>1876</v>
      </c>
    </row>
    <row r="649" spans="1:8">
      <c r="A649" s="27">
        <v>67</v>
      </c>
      <c r="B649" s="28" t="s">
        <v>11</v>
      </c>
      <c r="C649" s="29" t="s">
        <v>8</v>
      </c>
      <c r="D649" s="29" t="s">
        <v>9</v>
      </c>
      <c r="E649" s="28" t="s">
        <v>16</v>
      </c>
      <c r="F649" s="29">
        <v>178</v>
      </c>
      <c r="G649" s="29">
        <v>290</v>
      </c>
    </row>
    <row r="650" spans="1:8">
      <c r="A650" s="27">
        <v>68</v>
      </c>
      <c r="B650" s="28" t="s">
        <v>7</v>
      </c>
      <c r="C650" s="28" t="s">
        <v>15</v>
      </c>
      <c r="D650" s="29" t="s">
        <v>9</v>
      </c>
      <c r="E650" s="28" t="s">
        <v>16</v>
      </c>
      <c r="F650" s="29">
        <v>179</v>
      </c>
      <c r="G650" s="29">
        <v>789</v>
      </c>
    </row>
    <row r="651" spans="1:8">
      <c r="A651" s="27">
        <v>70</v>
      </c>
      <c r="B651" s="28" t="s">
        <v>7</v>
      </c>
      <c r="C651" s="28" t="s">
        <v>15</v>
      </c>
      <c r="D651" s="29" t="s">
        <v>9</v>
      </c>
      <c r="E651" s="28" t="s">
        <v>16</v>
      </c>
      <c r="F651" s="29">
        <v>182</v>
      </c>
      <c r="G651" s="29">
        <v>2629.2</v>
      </c>
      <c r="H651" s="31" t="s">
        <v>31</v>
      </c>
    </row>
    <row r="654" spans="1:8" ht="32">
      <c r="A654" s="1" t="s">
        <v>0</v>
      </c>
      <c r="B654" s="23" t="s">
        <v>1</v>
      </c>
      <c r="C654" s="24" t="s">
        <v>2</v>
      </c>
      <c r="D654" s="24" t="s">
        <v>3</v>
      </c>
      <c r="E654" s="25" t="s">
        <v>4</v>
      </c>
      <c r="F654" s="26" t="s">
        <v>5</v>
      </c>
      <c r="G654" s="26" t="s">
        <v>6</v>
      </c>
    </row>
    <row r="655" spans="1:8">
      <c r="A655" s="27">
        <v>1</v>
      </c>
      <c r="B655" s="28" t="s">
        <v>7</v>
      </c>
      <c r="C655" s="29" t="s">
        <v>8</v>
      </c>
      <c r="D655" s="29" t="s">
        <v>9</v>
      </c>
      <c r="E655" s="28" t="s">
        <v>10</v>
      </c>
      <c r="F655" s="29">
        <v>25</v>
      </c>
      <c r="G655" s="29">
        <v>118</v>
      </c>
    </row>
    <row r="656" spans="1:8">
      <c r="A656" s="27">
        <v>5</v>
      </c>
      <c r="B656" s="28" t="s">
        <v>7</v>
      </c>
      <c r="C656" s="28" t="s">
        <v>15</v>
      </c>
      <c r="D656" s="29" t="s">
        <v>9</v>
      </c>
      <c r="E656" s="28" t="s">
        <v>16</v>
      </c>
      <c r="F656" s="29">
        <v>46</v>
      </c>
      <c r="G656" s="29">
        <v>1009</v>
      </c>
    </row>
    <row r="657" spans="1:7">
      <c r="A657" s="27">
        <v>6</v>
      </c>
      <c r="B657" s="28" t="s">
        <v>11</v>
      </c>
      <c r="C657" s="29" t="s">
        <v>8</v>
      </c>
      <c r="D657" s="29" t="s">
        <v>9</v>
      </c>
      <c r="E657" s="28" t="s">
        <v>10</v>
      </c>
      <c r="F657" s="29">
        <v>51</v>
      </c>
      <c r="G657" s="29">
        <v>52</v>
      </c>
    </row>
    <row r="658" spans="1:7">
      <c r="A658" s="27">
        <v>18</v>
      </c>
      <c r="B658" s="28" t="s">
        <v>11</v>
      </c>
      <c r="C658" s="29" t="s">
        <v>8</v>
      </c>
      <c r="D658" s="29" t="s">
        <v>9</v>
      </c>
      <c r="E658" s="28" t="s">
        <v>10</v>
      </c>
      <c r="F658" s="29">
        <v>79</v>
      </c>
      <c r="G658" s="29">
        <v>142</v>
      </c>
    </row>
    <row r="659" spans="1:7">
      <c r="A659" s="27">
        <v>20</v>
      </c>
      <c r="B659" s="28" t="s">
        <v>11</v>
      </c>
      <c r="C659" s="28" t="s">
        <v>15</v>
      </c>
      <c r="D659" s="29" t="s">
        <v>9</v>
      </c>
      <c r="E659" s="28" t="s">
        <v>10</v>
      </c>
      <c r="F659" s="28">
        <v>80</v>
      </c>
      <c r="G659" s="28">
        <v>260</v>
      </c>
    </row>
    <row r="660" spans="1:7">
      <c r="A660" s="27">
        <v>22</v>
      </c>
      <c r="B660" s="28" t="s">
        <v>11</v>
      </c>
      <c r="C660" s="29" t="s">
        <v>8</v>
      </c>
      <c r="D660" s="29" t="s">
        <v>9</v>
      </c>
      <c r="E660" s="28" t="s">
        <v>10</v>
      </c>
      <c r="F660" s="29">
        <v>81</v>
      </c>
      <c r="G660" s="29">
        <v>190</v>
      </c>
    </row>
    <row r="661" spans="1:7">
      <c r="A661" s="27">
        <v>25</v>
      </c>
      <c r="B661" s="28" t="s">
        <v>7</v>
      </c>
      <c r="C661" s="28" t="s">
        <v>15</v>
      </c>
      <c r="D661" s="29" t="s">
        <v>9</v>
      </c>
      <c r="E661" s="28" t="s">
        <v>16</v>
      </c>
      <c r="F661" s="29">
        <v>83</v>
      </c>
      <c r="G661" s="29">
        <v>855</v>
      </c>
    </row>
    <row r="662" spans="1:7">
      <c r="A662" s="27">
        <v>28</v>
      </c>
      <c r="B662" s="28" t="s">
        <v>11</v>
      </c>
      <c r="C662" s="29" t="s">
        <v>8</v>
      </c>
      <c r="D662" s="29" t="s">
        <v>9</v>
      </c>
      <c r="E662" s="28" t="s">
        <v>10</v>
      </c>
      <c r="F662" s="29">
        <v>87</v>
      </c>
      <c r="G662" s="29">
        <v>170</v>
      </c>
    </row>
    <row r="663" spans="1:7">
      <c r="A663" s="27">
        <v>29</v>
      </c>
      <c r="B663" s="28" t="s">
        <v>11</v>
      </c>
      <c r="C663" s="29" t="s">
        <v>8</v>
      </c>
      <c r="D663" s="29" t="s">
        <v>9</v>
      </c>
      <c r="E663" s="28" t="s">
        <v>10</v>
      </c>
      <c r="F663" s="29">
        <v>90</v>
      </c>
      <c r="G663" s="29">
        <v>189</v>
      </c>
    </row>
    <row r="664" spans="1:7">
      <c r="A664" s="27">
        <v>34</v>
      </c>
      <c r="B664" s="28" t="s">
        <v>11</v>
      </c>
      <c r="C664" s="29" t="s">
        <v>8</v>
      </c>
      <c r="D664" s="29" t="s">
        <v>9</v>
      </c>
      <c r="E664" s="28" t="s">
        <v>10</v>
      </c>
      <c r="F664" s="29">
        <v>102</v>
      </c>
      <c r="G664" s="29">
        <v>200</v>
      </c>
    </row>
    <row r="665" spans="1:7">
      <c r="A665" s="27">
        <v>42</v>
      </c>
      <c r="B665" s="28" t="s">
        <v>11</v>
      </c>
      <c r="C665" s="29" t="s">
        <v>8</v>
      </c>
      <c r="D665" s="29" t="s">
        <v>9</v>
      </c>
      <c r="E665" s="28" t="s">
        <v>16</v>
      </c>
      <c r="F665" s="29">
        <v>115</v>
      </c>
      <c r="G665" s="29">
        <v>285</v>
      </c>
    </row>
    <row r="666" spans="1:7">
      <c r="A666" s="27">
        <v>53</v>
      </c>
      <c r="B666" s="28" t="s">
        <v>11</v>
      </c>
      <c r="C666" s="29" t="s">
        <v>8</v>
      </c>
      <c r="D666" s="29" t="s">
        <v>9</v>
      </c>
      <c r="E666" s="28" t="s">
        <v>10</v>
      </c>
      <c r="F666" s="29">
        <v>136</v>
      </c>
      <c r="G666" s="29">
        <v>220</v>
      </c>
    </row>
    <row r="667" spans="1:7">
      <c r="A667" s="27">
        <v>56</v>
      </c>
      <c r="B667" s="28" t="s">
        <v>11</v>
      </c>
      <c r="C667" s="29" t="s">
        <v>8</v>
      </c>
      <c r="D667" s="29" t="s">
        <v>9</v>
      </c>
      <c r="E667" s="28" t="s">
        <v>10</v>
      </c>
      <c r="F667" s="29">
        <v>148</v>
      </c>
      <c r="G667" s="29">
        <v>186</v>
      </c>
    </row>
    <row r="668" spans="1:7">
      <c r="A668" s="27">
        <v>57</v>
      </c>
      <c r="B668" s="28" t="s">
        <v>11</v>
      </c>
      <c r="C668" s="29" t="s">
        <v>8</v>
      </c>
      <c r="D668" s="29" t="s">
        <v>9</v>
      </c>
      <c r="E668" s="28" t="s">
        <v>10</v>
      </c>
      <c r="F668" s="29">
        <v>152</v>
      </c>
      <c r="G668" s="29">
        <v>237</v>
      </c>
    </row>
    <row r="669" spans="1:7">
      <c r="A669" s="27">
        <v>62</v>
      </c>
      <c r="B669" s="28" t="s">
        <v>11</v>
      </c>
      <c r="C669" s="29" t="s">
        <v>8</v>
      </c>
      <c r="D669" s="29" t="s">
        <v>9</v>
      </c>
      <c r="E669" s="28" t="s">
        <v>10</v>
      </c>
      <c r="F669" s="29">
        <v>160</v>
      </c>
      <c r="G669" s="29">
        <v>242</v>
      </c>
    </row>
    <row r="670" spans="1:7">
      <c r="A670" s="27">
        <v>65</v>
      </c>
      <c r="B670" s="28" t="s">
        <v>11</v>
      </c>
      <c r="C670" s="29" t="s">
        <v>8</v>
      </c>
      <c r="D670" s="29" t="s">
        <v>9</v>
      </c>
      <c r="E670" s="28" t="s">
        <v>10</v>
      </c>
      <c r="F670" s="29">
        <v>169</v>
      </c>
      <c r="G670" s="29">
        <v>215</v>
      </c>
    </row>
    <row r="671" spans="1:7">
      <c r="A671" s="27">
        <v>66</v>
      </c>
      <c r="B671" s="28" t="s">
        <v>7</v>
      </c>
      <c r="C671" s="28" t="s">
        <v>15</v>
      </c>
      <c r="D671" s="29" t="s">
        <v>9</v>
      </c>
      <c r="E671" s="28" t="s">
        <v>16</v>
      </c>
      <c r="F671" s="29">
        <v>174</v>
      </c>
      <c r="G671" s="29">
        <v>1876</v>
      </c>
    </row>
    <row r="672" spans="1:7">
      <c r="A672" s="27">
        <v>67</v>
      </c>
      <c r="B672" s="28" t="s">
        <v>11</v>
      </c>
      <c r="C672" s="29" t="s">
        <v>8</v>
      </c>
      <c r="D672" s="29" t="s">
        <v>9</v>
      </c>
      <c r="E672" s="28" t="s">
        <v>16</v>
      </c>
      <c r="F672" s="29">
        <v>178</v>
      </c>
      <c r="G672" s="29">
        <v>290</v>
      </c>
    </row>
    <row r="673" spans="1:7">
      <c r="A673" s="27">
        <v>68</v>
      </c>
      <c r="B673" s="28" t="s">
        <v>7</v>
      </c>
      <c r="C673" s="28" t="s">
        <v>15</v>
      </c>
      <c r="D673" s="29" t="s">
        <v>9</v>
      </c>
      <c r="E673" s="28" t="s">
        <v>16</v>
      </c>
      <c r="F673" s="29">
        <v>179</v>
      </c>
      <c r="G673" s="29">
        <v>789</v>
      </c>
    </row>
    <row r="675" spans="1:7">
      <c r="A675" t="s">
        <v>28</v>
      </c>
    </row>
    <row r="676" spans="1:7" ht="20">
      <c r="A676" s="13" t="s">
        <v>29</v>
      </c>
    </row>
    <row r="677" spans="1:7" ht="17">
      <c r="A677" s="14" t="s">
        <v>30</v>
      </c>
      <c r="B677" s="14" t="s">
        <v>6</v>
      </c>
      <c r="C677" s="14"/>
      <c r="D677" s="14"/>
      <c r="E677" s="14"/>
      <c r="F677" s="14"/>
    </row>
    <row r="678" spans="1:7" ht="17">
      <c r="A678" s="14">
        <v>17</v>
      </c>
      <c r="B678" s="14">
        <v>1876</v>
      </c>
      <c r="C678" s="14"/>
      <c r="D678" s="14"/>
      <c r="E678" s="14"/>
      <c r="F678" s="14"/>
    </row>
    <row r="680" spans="1:7" ht="32">
      <c r="A680" s="1" t="s">
        <v>0</v>
      </c>
      <c r="B680" s="23" t="s">
        <v>1</v>
      </c>
      <c r="C680" s="24" t="s">
        <v>2</v>
      </c>
      <c r="D680" s="24" t="s">
        <v>3</v>
      </c>
      <c r="E680" s="25" t="s">
        <v>4</v>
      </c>
      <c r="F680" s="26" t="s">
        <v>5</v>
      </c>
      <c r="G680" s="26" t="s">
        <v>6</v>
      </c>
    </row>
    <row r="681" spans="1:7">
      <c r="A681" s="27">
        <v>1</v>
      </c>
      <c r="B681" s="28" t="s">
        <v>7</v>
      </c>
      <c r="C681" s="29" t="s">
        <v>8</v>
      </c>
      <c r="D681" s="29" t="s">
        <v>9</v>
      </c>
      <c r="E681" s="28" t="s">
        <v>10</v>
      </c>
      <c r="F681" s="29">
        <v>25</v>
      </c>
      <c r="G681" s="29">
        <v>118</v>
      </c>
    </row>
    <row r="682" spans="1:7">
      <c r="A682" s="27">
        <v>5</v>
      </c>
      <c r="B682" s="28" t="s">
        <v>7</v>
      </c>
      <c r="C682" s="28" t="s">
        <v>15</v>
      </c>
      <c r="D682" s="29" t="s">
        <v>9</v>
      </c>
      <c r="E682" s="28" t="s">
        <v>16</v>
      </c>
      <c r="F682" s="29">
        <v>46</v>
      </c>
      <c r="G682" s="29">
        <v>1009</v>
      </c>
    </row>
    <row r="683" spans="1:7">
      <c r="A683" s="27">
        <v>6</v>
      </c>
      <c r="B683" s="28" t="s">
        <v>11</v>
      </c>
      <c r="C683" s="29" t="s">
        <v>8</v>
      </c>
      <c r="D683" s="29" t="s">
        <v>9</v>
      </c>
      <c r="E683" s="28" t="s">
        <v>10</v>
      </c>
      <c r="F683" s="29">
        <v>51</v>
      </c>
      <c r="G683" s="29">
        <v>52</v>
      </c>
    </row>
    <row r="684" spans="1:7">
      <c r="A684" s="27">
        <v>18</v>
      </c>
      <c r="B684" s="28" t="s">
        <v>11</v>
      </c>
      <c r="C684" s="29" t="s">
        <v>8</v>
      </c>
      <c r="D684" s="29" t="s">
        <v>9</v>
      </c>
      <c r="E684" s="28" t="s">
        <v>10</v>
      </c>
      <c r="F684" s="29">
        <v>79</v>
      </c>
      <c r="G684" s="29">
        <v>142</v>
      </c>
    </row>
    <row r="685" spans="1:7">
      <c r="A685" s="27">
        <v>20</v>
      </c>
      <c r="B685" s="28" t="s">
        <v>11</v>
      </c>
      <c r="C685" s="28" t="s">
        <v>15</v>
      </c>
      <c r="D685" s="29" t="s">
        <v>9</v>
      </c>
      <c r="E685" s="28" t="s">
        <v>10</v>
      </c>
      <c r="F685" s="28">
        <v>80</v>
      </c>
      <c r="G685" s="28">
        <v>260</v>
      </c>
    </row>
    <row r="686" spans="1:7">
      <c r="A686" s="27">
        <v>22</v>
      </c>
      <c r="B686" s="28" t="s">
        <v>11</v>
      </c>
      <c r="C686" s="29" t="s">
        <v>8</v>
      </c>
      <c r="D686" s="29" t="s">
        <v>9</v>
      </c>
      <c r="E686" s="28" t="s">
        <v>10</v>
      </c>
      <c r="F686" s="29">
        <v>81</v>
      </c>
      <c r="G686" s="29">
        <v>190</v>
      </c>
    </row>
    <row r="687" spans="1:7">
      <c r="A687" s="27">
        <v>25</v>
      </c>
      <c r="B687" s="28" t="s">
        <v>7</v>
      </c>
      <c r="C687" s="28" t="s">
        <v>15</v>
      </c>
      <c r="D687" s="29" t="s">
        <v>9</v>
      </c>
      <c r="E687" s="28" t="s">
        <v>16</v>
      </c>
      <c r="F687" s="29">
        <v>83</v>
      </c>
      <c r="G687" s="29">
        <v>855</v>
      </c>
    </row>
    <row r="688" spans="1:7">
      <c r="A688" s="27">
        <v>28</v>
      </c>
      <c r="B688" s="28" t="s">
        <v>11</v>
      </c>
      <c r="C688" s="29" t="s">
        <v>8</v>
      </c>
      <c r="D688" s="29" t="s">
        <v>9</v>
      </c>
      <c r="E688" s="28" t="s">
        <v>10</v>
      </c>
      <c r="F688" s="29">
        <v>87</v>
      </c>
      <c r="G688" s="29">
        <v>170</v>
      </c>
    </row>
    <row r="689" spans="1:8">
      <c r="A689" s="27">
        <v>29</v>
      </c>
      <c r="B689" s="28" t="s">
        <v>11</v>
      </c>
      <c r="C689" s="29" t="s">
        <v>8</v>
      </c>
      <c r="D689" s="29" t="s">
        <v>9</v>
      </c>
      <c r="E689" s="28" t="s">
        <v>10</v>
      </c>
      <c r="F689" s="29">
        <v>90</v>
      </c>
      <c r="G689" s="29">
        <v>189</v>
      </c>
    </row>
    <row r="690" spans="1:8">
      <c r="A690" s="27">
        <v>34</v>
      </c>
      <c r="B690" s="28" t="s">
        <v>11</v>
      </c>
      <c r="C690" s="29" t="s">
        <v>8</v>
      </c>
      <c r="D690" s="29" t="s">
        <v>9</v>
      </c>
      <c r="E690" s="28" t="s">
        <v>10</v>
      </c>
      <c r="F690" s="29">
        <v>102</v>
      </c>
      <c r="G690" s="29">
        <v>200</v>
      </c>
    </row>
    <row r="691" spans="1:8">
      <c r="A691" s="27">
        <v>42</v>
      </c>
      <c r="B691" s="28" t="s">
        <v>11</v>
      </c>
      <c r="C691" s="29" t="s">
        <v>8</v>
      </c>
      <c r="D691" s="29" t="s">
        <v>9</v>
      </c>
      <c r="E691" s="28" t="s">
        <v>16</v>
      </c>
      <c r="F691" s="29">
        <v>115</v>
      </c>
      <c r="G691" s="29">
        <v>285</v>
      </c>
    </row>
    <row r="692" spans="1:8">
      <c r="A692" s="27">
        <v>53</v>
      </c>
      <c r="B692" s="28" t="s">
        <v>11</v>
      </c>
      <c r="C692" s="29" t="s">
        <v>8</v>
      </c>
      <c r="D692" s="29" t="s">
        <v>9</v>
      </c>
      <c r="E692" s="28" t="s">
        <v>10</v>
      </c>
      <c r="F692" s="29">
        <v>136</v>
      </c>
      <c r="G692" s="29">
        <v>220</v>
      </c>
    </row>
    <row r="693" spans="1:8">
      <c r="A693" s="27">
        <v>56</v>
      </c>
      <c r="B693" s="28" t="s">
        <v>11</v>
      </c>
      <c r="C693" s="29" t="s">
        <v>8</v>
      </c>
      <c r="D693" s="29" t="s">
        <v>9</v>
      </c>
      <c r="E693" s="28" t="s">
        <v>10</v>
      </c>
      <c r="F693" s="29">
        <v>148</v>
      </c>
      <c r="G693" s="29">
        <v>186</v>
      </c>
    </row>
    <row r="694" spans="1:8">
      <c r="A694" s="27">
        <v>57</v>
      </c>
      <c r="B694" s="28" t="s">
        <v>11</v>
      </c>
      <c r="C694" s="29" t="s">
        <v>8</v>
      </c>
      <c r="D694" s="29" t="s">
        <v>9</v>
      </c>
      <c r="E694" s="28" t="s">
        <v>10</v>
      </c>
      <c r="F694" s="29">
        <v>152</v>
      </c>
      <c r="G694" s="29">
        <v>237</v>
      </c>
    </row>
    <row r="695" spans="1:8">
      <c r="A695" s="27">
        <v>62</v>
      </c>
      <c r="B695" s="28" t="s">
        <v>11</v>
      </c>
      <c r="C695" s="29" t="s">
        <v>8</v>
      </c>
      <c r="D695" s="29" t="s">
        <v>9</v>
      </c>
      <c r="E695" s="28" t="s">
        <v>10</v>
      </c>
      <c r="F695" s="29">
        <v>160</v>
      </c>
      <c r="G695" s="29">
        <v>242</v>
      </c>
    </row>
    <row r="696" spans="1:8">
      <c r="A696" s="27">
        <v>65</v>
      </c>
      <c r="B696" s="28" t="s">
        <v>11</v>
      </c>
      <c r="C696" s="29" t="s">
        <v>8</v>
      </c>
      <c r="D696" s="29" t="s">
        <v>9</v>
      </c>
      <c r="E696" s="28" t="s">
        <v>10</v>
      </c>
      <c r="F696" s="29">
        <v>169</v>
      </c>
      <c r="G696" s="29">
        <v>215</v>
      </c>
    </row>
    <row r="697" spans="1:8">
      <c r="A697" s="27">
        <v>66</v>
      </c>
      <c r="B697" s="28" t="s">
        <v>7</v>
      </c>
      <c r="C697" s="28" t="s">
        <v>15</v>
      </c>
      <c r="D697" s="29" t="s">
        <v>9</v>
      </c>
      <c r="E697" s="28" t="s">
        <v>16</v>
      </c>
      <c r="F697" s="29">
        <v>174</v>
      </c>
      <c r="G697" s="29">
        <v>1876</v>
      </c>
      <c r="H697" s="31" t="s">
        <v>31</v>
      </c>
    </row>
    <row r="698" spans="1:8">
      <c r="A698" s="27">
        <v>67</v>
      </c>
      <c r="B698" s="28" t="s">
        <v>11</v>
      </c>
      <c r="C698" s="29" t="s">
        <v>8</v>
      </c>
      <c r="D698" s="29" t="s">
        <v>9</v>
      </c>
      <c r="E698" s="28" t="s">
        <v>16</v>
      </c>
      <c r="F698" s="29">
        <v>178</v>
      </c>
      <c r="G698" s="29">
        <v>290</v>
      </c>
    </row>
    <row r="699" spans="1:8">
      <c r="A699" s="27">
        <v>68</v>
      </c>
      <c r="B699" s="28" t="s">
        <v>7</v>
      </c>
      <c r="C699" s="28" t="s">
        <v>15</v>
      </c>
      <c r="D699" s="29" t="s">
        <v>9</v>
      </c>
      <c r="E699" s="28" t="s">
        <v>16</v>
      </c>
      <c r="F699" s="29">
        <v>179</v>
      </c>
      <c r="G699" s="29">
        <v>789</v>
      </c>
    </row>
    <row r="702" spans="1:8" ht="32">
      <c r="A702" s="1" t="s">
        <v>0</v>
      </c>
      <c r="B702" s="23" t="s">
        <v>1</v>
      </c>
      <c r="C702" s="24" t="s">
        <v>2</v>
      </c>
      <c r="D702" s="24" t="s">
        <v>3</v>
      </c>
      <c r="E702" s="25" t="s">
        <v>4</v>
      </c>
      <c r="F702" s="26" t="s">
        <v>5</v>
      </c>
      <c r="G702" s="26" t="s">
        <v>6</v>
      </c>
    </row>
    <row r="703" spans="1:8">
      <c r="A703" s="27">
        <v>1</v>
      </c>
      <c r="B703" s="28" t="s">
        <v>7</v>
      </c>
      <c r="C703" s="29" t="s">
        <v>8</v>
      </c>
      <c r="D703" s="29" t="s">
        <v>9</v>
      </c>
      <c r="E703" s="28" t="s">
        <v>10</v>
      </c>
      <c r="F703" s="29">
        <v>25</v>
      </c>
      <c r="G703" s="29">
        <v>118</v>
      </c>
    </row>
    <row r="704" spans="1:8">
      <c r="A704" s="27">
        <v>5</v>
      </c>
      <c r="B704" s="28" t="s">
        <v>7</v>
      </c>
      <c r="C704" s="28" t="s">
        <v>15</v>
      </c>
      <c r="D704" s="29" t="s">
        <v>9</v>
      </c>
      <c r="E704" s="28" t="s">
        <v>16</v>
      </c>
      <c r="F704" s="29">
        <v>46</v>
      </c>
      <c r="G704" s="29">
        <v>1009</v>
      </c>
    </row>
    <row r="705" spans="1:7">
      <c r="A705" s="27">
        <v>6</v>
      </c>
      <c r="B705" s="28" t="s">
        <v>11</v>
      </c>
      <c r="C705" s="29" t="s">
        <v>8</v>
      </c>
      <c r="D705" s="29" t="s">
        <v>9</v>
      </c>
      <c r="E705" s="28" t="s">
        <v>10</v>
      </c>
      <c r="F705" s="29">
        <v>51</v>
      </c>
      <c r="G705" s="29">
        <v>52</v>
      </c>
    </row>
    <row r="706" spans="1:7">
      <c r="A706" s="27">
        <v>18</v>
      </c>
      <c r="B706" s="28" t="s">
        <v>11</v>
      </c>
      <c r="C706" s="29" t="s">
        <v>8</v>
      </c>
      <c r="D706" s="29" t="s">
        <v>9</v>
      </c>
      <c r="E706" s="28" t="s">
        <v>10</v>
      </c>
      <c r="F706" s="29">
        <v>79</v>
      </c>
      <c r="G706" s="29">
        <v>142</v>
      </c>
    </row>
    <row r="707" spans="1:7">
      <c r="A707" s="27">
        <v>20</v>
      </c>
      <c r="B707" s="28" t="s">
        <v>11</v>
      </c>
      <c r="C707" s="28" t="s">
        <v>15</v>
      </c>
      <c r="D707" s="29" t="s">
        <v>9</v>
      </c>
      <c r="E707" s="28" t="s">
        <v>10</v>
      </c>
      <c r="F707" s="28">
        <v>80</v>
      </c>
      <c r="G707" s="28">
        <v>260</v>
      </c>
    </row>
    <row r="708" spans="1:7">
      <c r="A708" s="27">
        <v>22</v>
      </c>
      <c r="B708" s="28" t="s">
        <v>11</v>
      </c>
      <c r="C708" s="29" t="s">
        <v>8</v>
      </c>
      <c r="D708" s="29" t="s">
        <v>9</v>
      </c>
      <c r="E708" s="28" t="s">
        <v>10</v>
      </c>
      <c r="F708" s="29">
        <v>81</v>
      </c>
      <c r="G708" s="29">
        <v>190</v>
      </c>
    </row>
    <row r="709" spans="1:7">
      <c r="A709" s="27">
        <v>25</v>
      </c>
      <c r="B709" s="28" t="s">
        <v>7</v>
      </c>
      <c r="C709" s="28" t="s">
        <v>15</v>
      </c>
      <c r="D709" s="29" t="s">
        <v>9</v>
      </c>
      <c r="E709" s="28" t="s">
        <v>16</v>
      </c>
      <c r="F709" s="29">
        <v>83</v>
      </c>
      <c r="G709" s="29">
        <v>855</v>
      </c>
    </row>
    <row r="710" spans="1:7">
      <c r="A710" s="27">
        <v>28</v>
      </c>
      <c r="B710" s="28" t="s">
        <v>11</v>
      </c>
      <c r="C710" s="29" t="s">
        <v>8</v>
      </c>
      <c r="D710" s="29" t="s">
        <v>9</v>
      </c>
      <c r="E710" s="28" t="s">
        <v>10</v>
      </c>
      <c r="F710" s="29">
        <v>87</v>
      </c>
      <c r="G710" s="29">
        <v>170</v>
      </c>
    </row>
    <row r="711" spans="1:7">
      <c r="A711" s="27">
        <v>29</v>
      </c>
      <c r="B711" s="28" t="s">
        <v>11</v>
      </c>
      <c r="C711" s="29" t="s">
        <v>8</v>
      </c>
      <c r="D711" s="29" t="s">
        <v>9</v>
      </c>
      <c r="E711" s="28" t="s">
        <v>10</v>
      </c>
      <c r="F711" s="29">
        <v>90</v>
      </c>
      <c r="G711" s="29">
        <v>189</v>
      </c>
    </row>
    <row r="712" spans="1:7">
      <c r="A712" s="27">
        <v>34</v>
      </c>
      <c r="B712" s="28" t="s">
        <v>11</v>
      </c>
      <c r="C712" s="29" t="s">
        <v>8</v>
      </c>
      <c r="D712" s="29" t="s">
        <v>9</v>
      </c>
      <c r="E712" s="28" t="s">
        <v>10</v>
      </c>
      <c r="F712" s="29">
        <v>102</v>
      </c>
      <c r="G712" s="29">
        <v>200</v>
      </c>
    </row>
    <row r="713" spans="1:7">
      <c r="A713" s="27">
        <v>42</v>
      </c>
      <c r="B713" s="28" t="s">
        <v>11</v>
      </c>
      <c r="C713" s="29" t="s">
        <v>8</v>
      </c>
      <c r="D713" s="29" t="s">
        <v>9</v>
      </c>
      <c r="E713" s="28" t="s">
        <v>16</v>
      </c>
      <c r="F713" s="29">
        <v>115</v>
      </c>
      <c r="G713" s="29">
        <v>285</v>
      </c>
    </row>
    <row r="714" spans="1:7">
      <c r="A714" s="27">
        <v>53</v>
      </c>
      <c r="B714" s="28" t="s">
        <v>11</v>
      </c>
      <c r="C714" s="29" t="s">
        <v>8</v>
      </c>
      <c r="D714" s="29" t="s">
        <v>9</v>
      </c>
      <c r="E714" s="28" t="s">
        <v>10</v>
      </c>
      <c r="F714" s="29">
        <v>136</v>
      </c>
      <c r="G714" s="29">
        <v>220</v>
      </c>
    </row>
    <row r="715" spans="1:7">
      <c r="A715" s="27">
        <v>56</v>
      </c>
      <c r="B715" s="28" t="s">
        <v>11</v>
      </c>
      <c r="C715" s="29" t="s">
        <v>8</v>
      </c>
      <c r="D715" s="29" t="s">
        <v>9</v>
      </c>
      <c r="E715" s="28" t="s">
        <v>10</v>
      </c>
      <c r="F715" s="29">
        <v>148</v>
      </c>
      <c r="G715" s="29">
        <v>186</v>
      </c>
    </row>
    <row r="716" spans="1:7">
      <c r="A716" s="27">
        <v>57</v>
      </c>
      <c r="B716" s="28" t="s">
        <v>11</v>
      </c>
      <c r="C716" s="29" t="s">
        <v>8</v>
      </c>
      <c r="D716" s="29" t="s">
        <v>9</v>
      </c>
      <c r="E716" s="28" t="s">
        <v>10</v>
      </c>
      <c r="F716" s="29">
        <v>152</v>
      </c>
      <c r="G716" s="29">
        <v>237</v>
      </c>
    </row>
    <row r="717" spans="1:7">
      <c r="A717" s="27">
        <v>62</v>
      </c>
      <c r="B717" s="28" t="s">
        <v>11</v>
      </c>
      <c r="C717" s="29" t="s">
        <v>8</v>
      </c>
      <c r="D717" s="29" t="s">
        <v>9</v>
      </c>
      <c r="E717" s="28" t="s">
        <v>10</v>
      </c>
      <c r="F717" s="29">
        <v>160</v>
      </c>
      <c r="G717" s="29">
        <v>242</v>
      </c>
    </row>
    <row r="718" spans="1:7">
      <c r="A718" s="27">
        <v>65</v>
      </c>
      <c r="B718" s="28" t="s">
        <v>11</v>
      </c>
      <c r="C718" s="29" t="s">
        <v>8</v>
      </c>
      <c r="D718" s="29" t="s">
        <v>9</v>
      </c>
      <c r="E718" s="28" t="s">
        <v>10</v>
      </c>
      <c r="F718" s="29">
        <v>169</v>
      </c>
      <c r="G718" s="29">
        <v>215</v>
      </c>
    </row>
    <row r="719" spans="1:7">
      <c r="A719" s="27">
        <v>67</v>
      </c>
      <c r="B719" s="28" t="s">
        <v>11</v>
      </c>
      <c r="C719" s="29" t="s">
        <v>8</v>
      </c>
      <c r="D719" s="29" t="s">
        <v>9</v>
      </c>
      <c r="E719" s="28" t="s">
        <v>16</v>
      </c>
      <c r="F719" s="29">
        <v>178</v>
      </c>
      <c r="G719" s="29">
        <v>290</v>
      </c>
    </row>
    <row r="720" spans="1:7">
      <c r="A720" s="27">
        <v>68</v>
      </c>
      <c r="B720" s="28" t="s">
        <v>7</v>
      </c>
      <c r="C720" s="28" t="s">
        <v>15</v>
      </c>
      <c r="D720" s="29" t="s">
        <v>9</v>
      </c>
      <c r="E720" s="28" t="s">
        <v>16</v>
      </c>
      <c r="F720" s="29">
        <v>179</v>
      </c>
      <c r="G720" s="29">
        <v>789</v>
      </c>
    </row>
    <row r="722" spans="1:8">
      <c r="A722" t="s">
        <v>28</v>
      </c>
    </row>
    <row r="723" spans="1:8" ht="20">
      <c r="A723" s="13" t="s">
        <v>29</v>
      </c>
    </row>
    <row r="724" spans="1:8" ht="17">
      <c r="A724" s="14" t="s">
        <v>30</v>
      </c>
      <c r="B724" s="14" t="s">
        <v>6</v>
      </c>
      <c r="C724" s="14"/>
      <c r="D724" s="14"/>
      <c r="E724" s="14"/>
      <c r="F724" s="14"/>
    </row>
    <row r="725" spans="1:8" ht="17">
      <c r="A725" s="14">
        <v>2</v>
      </c>
      <c r="B725" s="14">
        <v>1009</v>
      </c>
      <c r="C725" s="14"/>
      <c r="D725" s="14"/>
      <c r="E725" s="14"/>
      <c r="F725" s="14"/>
    </row>
    <row r="726" spans="1:8" ht="17">
      <c r="A726" s="14">
        <v>7</v>
      </c>
      <c r="B726" s="14">
        <v>855</v>
      </c>
      <c r="C726" s="14"/>
      <c r="D726" s="14"/>
      <c r="E726" s="14"/>
      <c r="F726" s="14"/>
    </row>
    <row r="728" spans="1:8" ht="32">
      <c r="A728" s="1" t="s">
        <v>0</v>
      </c>
      <c r="B728" s="23" t="s">
        <v>1</v>
      </c>
      <c r="C728" s="24" t="s">
        <v>2</v>
      </c>
      <c r="D728" s="24" t="s">
        <v>3</v>
      </c>
      <c r="E728" s="25" t="s">
        <v>4</v>
      </c>
      <c r="F728" s="26" t="s">
        <v>5</v>
      </c>
      <c r="G728" s="26" t="s">
        <v>6</v>
      </c>
    </row>
    <row r="729" spans="1:8">
      <c r="A729" s="27">
        <v>1</v>
      </c>
      <c r="B729" s="28" t="s">
        <v>7</v>
      </c>
      <c r="C729" s="29" t="s">
        <v>8</v>
      </c>
      <c r="D729" s="29" t="s">
        <v>9</v>
      </c>
      <c r="E729" s="28" t="s">
        <v>10</v>
      </c>
      <c r="F729" s="29">
        <v>25</v>
      </c>
      <c r="G729" s="29">
        <v>118</v>
      </c>
    </row>
    <row r="730" spans="1:8">
      <c r="A730" s="27">
        <v>5</v>
      </c>
      <c r="B730" s="28" t="s">
        <v>7</v>
      </c>
      <c r="C730" s="28" t="s">
        <v>15</v>
      </c>
      <c r="D730" s="29" t="s">
        <v>9</v>
      </c>
      <c r="E730" s="28" t="s">
        <v>16</v>
      </c>
      <c r="F730" s="29">
        <v>46</v>
      </c>
      <c r="G730" s="29">
        <v>1009</v>
      </c>
      <c r="H730" s="31" t="s">
        <v>31</v>
      </c>
    </row>
    <row r="731" spans="1:8">
      <c r="A731" s="27">
        <v>6</v>
      </c>
      <c r="B731" s="28" t="s">
        <v>11</v>
      </c>
      <c r="C731" s="29" t="s">
        <v>8</v>
      </c>
      <c r="D731" s="29" t="s">
        <v>9</v>
      </c>
      <c r="E731" s="28" t="s">
        <v>10</v>
      </c>
      <c r="F731" s="29">
        <v>51</v>
      </c>
      <c r="G731" s="29">
        <v>52</v>
      </c>
    </row>
    <row r="732" spans="1:8">
      <c r="A732" s="27">
        <v>18</v>
      </c>
      <c r="B732" s="28" t="s">
        <v>11</v>
      </c>
      <c r="C732" s="29" t="s">
        <v>8</v>
      </c>
      <c r="D732" s="29" t="s">
        <v>9</v>
      </c>
      <c r="E732" s="28" t="s">
        <v>10</v>
      </c>
      <c r="F732" s="29">
        <v>79</v>
      </c>
      <c r="G732" s="29">
        <v>142</v>
      </c>
    </row>
    <row r="733" spans="1:8">
      <c r="A733" s="27">
        <v>20</v>
      </c>
      <c r="B733" s="28" t="s">
        <v>11</v>
      </c>
      <c r="C733" s="28" t="s">
        <v>15</v>
      </c>
      <c r="D733" s="29" t="s">
        <v>9</v>
      </c>
      <c r="E733" s="28" t="s">
        <v>10</v>
      </c>
      <c r="F733" s="28">
        <v>80</v>
      </c>
      <c r="G733" s="28">
        <v>260</v>
      </c>
    </row>
    <row r="734" spans="1:8">
      <c r="A734" s="27">
        <v>22</v>
      </c>
      <c r="B734" s="28" t="s">
        <v>11</v>
      </c>
      <c r="C734" s="29" t="s">
        <v>8</v>
      </c>
      <c r="D734" s="29" t="s">
        <v>9</v>
      </c>
      <c r="E734" s="28" t="s">
        <v>10</v>
      </c>
      <c r="F734" s="29">
        <v>81</v>
      </c>
      <c r="G734" s="29">
        <v>190</v>
      </c>
    </row>
    <row r="735" spans="1:8">
      <c r="A735" s="27">
        <v>25</v>
      </c>
      <c r="B735" s="28" t="s">
        <v>7</v>
      </c>
      <c r="C735" s="28" t="s">
        <v>15</v>
      </c>
      <c r="D735" s="29" t="s">
        <v>9</v>
      </c>
      <c r="E735" s="28" t="s">
        <v>16</v>
      </c>
      <c r="F735" s="29">
        <v>83</v>
      </c>
      <c r="G735" s="29">
        <v>855</v>
      </c>
      <c r="H735" s="31" t="s">
        <v>31</v>
      </c>
    </row>
    <row r="736" spans="1:8">
      <c r="A736" s="27">
        <v>28</v>
      </c>
      <c r="B736" s="28" t="s">
        <v>11</v>
      </c>
      <c r="C736" s="29" t="s">
        <v>8</v>
      </c>
      <c r="D736" s="29" t="s">
        <v>9</v>
      </c>
      <c r="E736" s="28" t="s">
        <v>10</v>
      </c>
      <c r="F736" s="29">
        <v>87</v>
      </c>
      <c r="G736" s="29">
        <v>170</v>
      </c>
    </row>
    <row r="737" spans="1:7">
      <c r="A737" s="27">
        <v>29</v>
      </c>
      <c r="B737" s="28" t="s">
        <v>11</v>
      </c>
      <c r="C737" s="29" t="s">
        <v>8</v>
      </c>
      <c r="D737" s="29" t="s">
        <v>9</v>
      </c>
      <c r="E737" s="28" t="s">
        <v>10</v>
      </c>
      <c r="F737" s="29">
        <v>90</v>
      </c>
      <c r="G737" s="29">
        <v>189</v>
      </c>
    </row>
    <row r="738" spans="1:7">
      <c r="A738" s="27">
        <v>34</v>
      </c>
      <c r="B738" s="28" t="s">
        <v>11</v>
      </c>
      <c r="C738" s="29" t="s">
        <v>8</v>
      </c>
      <c r="D738" s="29" t="s">
        <v>9</v>
      </c>
      <c r="E738" s="28" t="s">
        <v>10</v>
      </c>
      <c r="F738" s="29">
        <v>102</v>
      </c>
      <c r="G738" s="29">
        <v>200</v>
      </c>
    </row>
    <row r="739" spans="1:7">
      <c r="A739" s="27">
        <v>42</v>
      </c>
      <c r="B739" s="28" t="s">
        <v>11</v>
      </c>
      <c r="C739" s="29" t="s">
        <v>8</v>
      </c>
      <c r="D739" s="29" t="s">
        <v>9</v>
      </c>
      <c r="E739" s="28" t="s">
        <v>16</v>
      </c>
      <c r="F739" s="29">
        <v>115</v>
      </c>
      <c r="G739" s="29">
        <v>285</v>
      </c>
    </row>
    <row r="740" spans="1:7">
      <c r="A740" s="27">
        <v>53</v>
      </c>
      <c r="B740" s="28" t="s">
        <v>11</v>
      </c>
      <c r="C740" s="29" t="s">
        <v>8</v>
      </c>
      <c r="D740" s="29" t="s">
        <v>9</v>
      </c>
      <c r="E740" s="28" t="s">
        <v>10</v>
      </c>
      <c r="F740" s="29">
        <v>136</v>
      </c>
      <c r="G740" s="29">
        <v>220</v>
      </c>
    </row>
    <row r="741" spans="1:7">
      <c r="A741" s="27">
        <v>56</v>
      </c>
      <c r="B741" s="28" t="s">
        <v>11</v>
      </c>
      <c r="C741" s="29" t="s">
        <v>8</v>
      </c>
      <c r="D741" s="29" t="s">
        <v>9</v>
      </c>
      <c r="E741" s="28" t="s">
        <v>10</v>
      </c>
      <c r="F741" s="29">
        <v>148</v>
      </c>
      <c r="G741" s="29">
        <v>186</v>
      </c>
    </row>
    <row r="742" spans="1:7">
      <c r="A742" s="27">
        <v>57</v>
      </c>
      <c r="B742" s="28" t="s">
        <v>11</v>
      </c>
      <c r="C742" s="29" t="s">
        <v>8</v>
      </c>
      <c r="D742" s="29" t="s">
        <v>9</v>
      </c>
      <c r="E742" s="28" t="s">
        <v>10</v>
      </c>
      <c r="F742" s="29">
        <v>152</v>
      </c>
      <c r="G742" s="29">
        <v>237</v>
      </c>
    </row>
    <row r="743" spans="1:7">
      <c r="A743" s="27">
        <v>62</v>
      </c>
      <c r="B743" s="28" t="s">
        <v>11</v>
      </c>
      <c r="C743" s="29" t="s">
        <v>8</v>
      </c>
      <c r="D743" s="29" t="s">
        <v>9</v>
      </c>
      <c r="E743" s="28" t="s">
        <v>10</v>
      </c>
      <c r="F743" s="29">
        <v>160</v>
      </c>
      <c r="G743" s="29">
        <v>242</v>
      </c>
    </row>
    <row r="744" spans="1:7">
      <c r="A744" s="27">
        <v>65</v>
      </c>
      <c r="B744" s="28" t="s">
        <v>11</v>
      </c>
      <c r="C744" s="29" t="s">
        <v>8</v>
      </c>
      <c r="D744" s="29" t="s">
        <v>9</v>
      </c>
      <c r="E744" s="28" t="s">
        <v>10</v>
      </c>
      <c r="F744" s="29">
        <v>169</v>
      </c>
      <c r="G744" s="29">
        <v>215</v>
      </c>
    </row>
    <row r="745" spans="1:7">
      <c r="A745" s="27">
        <v>67</v>
      </c>
      <c r="B745" s="28" t="s">
        <v>11</v>
      </c>
      <c r="C745" s="29" t="s">
        <v>8</v>
      </c>
      <c r="D745" s="29" t="s">
        <v>9</v>
      </c>
      <c r="E745" s="28" t="s">
        <v>16</v>
      </c>
      <c r="F745" s="29">
        <v>178</v>
      </c>
      <c r="G745" s="29">
        <v>290</v>
      </c>
    </row>
    <row r="746" spans="1:7">
      <c r="A746" s="27">
        <v>68</v>
      </c>
      <c r="B746" s="28" t="s">
        <v>7</v>
      </c>
      <c r="C746" s="28" t="s">
        <v>15</v>
      </c>
      <c r="D746" s="29" t="s">
        <v>9</v>
      </c>
      <c r="E746" s="28" t="s">
        <v>16</v>
      </c>
      <c r="F746" s="29">
        <v>179</v>
      </c>
      <c r="G746" s="29">
        <v>789</v>
      </c>
    </row>
    <row r="748" spans="1:7" ht="32">
      <c r="A748" s="1" t="s">
        <v>0</v>
      </c>
      <c r="B748" s="23" t="s">
        <v>1</v>
      </c>
      <c r="C748" s="24" t="s">
        <v>2</v>
      </c>
      <c r="D748" s="24" t="s">
        <v>3</v>
      </c>
      <c r="E748" s="25" t="s">
        <v>4</v>
      </c>
      <c r="F748" s="26" t="s">
        <v>5</v>
      </c>
      <c r="G748" s="26" t="s">
        <v>6</v>
      </c>
    </row>
    <row r="749" spans="1:7">
      <c r="A749" s="27">
        <v>1</v>
      </c>
      <c r="B749" s="28" t="s">
        <v>7</v>
      </c>
      <c r="C749" s="29" t="s">
        <v>8</v>
      </c>
      <c r="D749" s="29" t="s">
        <v>9</v>
      </c>
      <c r="E749" s="28" t="s">
        <v>10</v>
      </c>
      <c r="F749" s="29">
        <v>25</v>
      </c>
      <c r="G749" s="29">
        <v>118</v>
      </c>
    </row>
    <row r="750" spans="1:7">
      <c r="A750" s="27">
        <v>6</v>
      </c>
      <c r="B750" s="28" t="s">
        <v>11</v>
      </c>
      <c r="C750" s="29" t="s">
        <v>8</v>
      </c>
      <c r="D750" s="29" t="s">
        <v>9</v>
      </c>
      <c r="E750" s="28" t="s">
        <v>10</v>
      </c>
      <c r="F750" s="29">
        <v>51</v>
      </c>
      <c r="G750" s="29">
        <v>52</v>
      </c>
    </row>
    <row r="751" spans="1:7">
      <c r="A751" s="27">
        <v>18</v>
      </c>
      <c r="B751" s="28" t="s">
        <v>11</v>
      </c>
      <c r="C751" s="29" t="s">
        <v>8</v>
      </c>
      <c r="D751" s="29" t="s">
        <v>9</v>
      </c>
      <c r="E751" s="28" t="s">
        <v>10</v>
      </c>
      <c r="F751" s="29">
        <v>79</v>
      </c>
      <c r="G751" s="29">
        <v>142</v>
      </c>
    </row>
    <row r="752" spans="1:7">
      <c r="A752" s="27">
        <v>20</v>
      </c>
      <c r="B752" s="28" t="s">
        <v>11</v>
      </c>
      <c r="C752" s="28" t="s">
        <v>15</v>
      </c>
      <c r="D752" s="29" t="s">
        <v>9</v>
      </c>
      <c r="E752" s="28" t="s">
        <v>10</v>
      </c>
      <c r="F752" s="28">
        <v>80</v>
      </c>
      <c r="G752" s="28">
        <v>260</v>
      </c>
    </row>
    <row r="753" spans="1:7">
      <c r="A753" s="27">
        <v>22</v>
      </c>
      <c r="B753" s="28" t="s">
        <v>11</v>
      </c>
      <c r="C753" s="29" t="s">
        <v>8</v>
      </c>
      <c r="D753" s="29" t="s">
        <v>9</v>
      </c>
      <c r="E753" s="28" t="s">
        <v>10</v>
      </c>
      <c r="F753" s="29">
        <v>81</v>
      </c>
      <c r="G753" s="29">
        <v>190</v>
      </c>
    </row>
    <row r="754" spans="1:7">
      <c r="A754" s="27">
        <v>28</v>
      </c>
      <c r="B754" s="28" t="s">
        <v>11</v>
      </c>
      <c r="C754" s="29" t="s">
        <v>8</v>
      </c>
      <c r="D754" s="29" t="s">
        <v>9</v>
      </c>
      <c r="E754" s="28" t="s">
        <v>10</v>
      </c>
      <c r="F754" s="29">
        <v>87</v>
      </c>
      <c r="G754" s="29">
        <v>170</v>
      </c>
    </row>
    <row r="755" spans="1:7">
      <c r="A755" s="27">
        <v>29</v>
      </c>
      <c r="B755" s="28" t="s">
        <v>11</v>
      </c>
      <c r="C755" s="29" t="s">
        <v>8</v>
      </c>
      <c r="D755" s="29" t="s">
        <v>9</v>
      </c>
      <c r="E755" s="28" t="s">
        <v>10</v>
      </c>
      <c r="F755" s="29">
        <v>90</v>
      </c>
      <c r="G755" s="29">
        <v>189</v>
      </c>
    </row>
    <row r="756" spans="1:7">
      <c r="A756" s="27">
        <v>34</v>
      </c>
      <c r="B756" s="28" t="s">
        <v>11</v>
      </c>
      <c r="C756" s="29" t="s">
        <v>8</v>
      </c>
      <c r="D756" s="29" t="s">
        <v>9</v>
      </c>
      <c r="E756" s="28" t="s">
        <v>10</v>
      </c>
      <c r="F756" s="29">
        <v>102</v>
      </c>
      <c r="G756" s="29">
        <v>200</v>
      </c>
    </row>
    <row r="757" spans="1:7">
      <c r="A757" s="27">
        <v>42</v>
      </c>
      <c r="B757" s="28" t="s">
        <v>11</v>
      </c>
      <c r="C757" s="29" t="s">
        <v>8</v>
      </c>
      <c r="D757" s="29" t="s">
        <v>9</v>
      </c>
      <c r="E757" s="28" t="s">
        <v>16</v>
      </c>
      <c r="F757" s="29">
        <v>115</v>
      </c>
      <c r="G757" s="29">
        <v>285</v>
      </c>
    </row>
    <row r="758" spans="1:7">
      <c r="A758" s="27">
        <v>53</v>
      </c>
      <c r="B758" s="28" t="s">
        <v>11</v>
      </c>
      <c r="C758" s="29" t="s">
        <v>8</v>
      </c>
      <c r="D758" s="29" t="s">
        <v>9</v>
      </c>
      <c r="E758" s="28" t="s">
        <v>10</v>
      </c>
      <c r="F758" s="29">
        <v>136</v>
      </c>
      <c r="G758" s="29">
        <v>220</v>
      </c>
    </row>
    <row r="759" spans="1:7">
      <c r="A759" s="27">
        <v>56</v>
      </c>
      <c r="B759" s="28" t="s">
        <v>11</v>
      </c>
      <c r="C759" s="29" t="s">
        <v>8</v>
      </c>
      <c r="D759" s="29" t="s">
        <v>9</v>
      </c>
      <c r="E759" s="28" t="s">
        <v>10</v>
      </c>
      <c r="F759" s="29">
        <v>148</v>
      </c>
      <c r="G759" s="29">
        <v>186</v>
      </c>
    </row>
    <row r="760" spans="1:7">
      <c r="A760" s="27">
        <v>57</v>
      </c>
      <c r="B760" s="28" t="s">
        <v>11</v>
      </c>
      <c r="C760" s="29" t="s">
        <v>8</v>
      </c>
      <c r="D760" s="29" t="s">
        <v>9</v>
      </c>
      <c r="E760" s="28" t="s">
        <v>10</v>
      </c>
      <c r="F760" s="29">
        <v>152</v>
      </c>
      <c r="G760" s="29">
        <v>237</v>
      </c>
    </row>
    <row r="761" spans="1:7">
      <c r="A761" s="27">
        <v>62</v>
      </c>
      <c r="B761" s="28" t="s">
        <v>11</v>
      </c>
      <c r="C761" s="29" t="s">
        <v>8</v>
      </c>
      <c r="D761" s="29" t="s">
        <v>9</v>
      </c>
      <c r="E761" s="28" t="s">
        <v>10</v>
      </c>
      <c r="F761" s="29">
        <v>160</v>
      </c>
      <c r="G761" s="29">
        <v>242</v>
      </c>
    </row>
    <row r="762" spans="1:7">
      <c r="A762" s="27">
        <v>65</v>
      </c>
      <c r="B762" s="28" t="s">
        <v>11</v>
      </c>
      <c r="C762" s="29" t="s">
        <v>8</v>
      </c>
      <c r="D762" s="29" t="s">
        <v>9</v>
      </c>
      <c r="E762" s="28" t="s">
        <v>10</v>
      </c>
      <c r="F762" s="29">
        <v>169</v>
      </c>
      <c r="G762" s="29">
        <v>215</v>
      </c>
    </row>
    <row r="763" spans="1:7">
      <c r="A763" s="27">
        <v>67</v>
      </c>
      <c r="B763" s="28" t="s">
        <v>11</v>
      </c>
      <c r="C763" s="29" t="s">
        <v>8</v>
      </c>
      <c r="D763" s="29" t="s">
        <v>9</v>
      </c>
      <c r="E763" s="28" t="s">
        <v>16</v>
      </c>
      <c r="F763" s="29">
        <v>178</v>
      </c>
      <c r="G763" s="29">
        <v>290</v>
      </c>
    </row>
    <row r="764" spans="1:7">
      <c r="A764" s="27">
        <v>68</v>
      </c>
      <c r="B764" s="28" t="s">
        <v>7</v>
      </c>
      <c r="C764" s="28" t="s">
        <v>15</v>
      </c>
      <c r="D764" s="29" t="s">
        <v>9</v>
      </c>
      <c r="E764" s="28" t="s">
        <v>16</v>
      </c>
      <c r="F764" s="29">
        <v>179</v>
      </c>
      <c r="G764" s="29">
        <v>789</v>
      </c>
    </row>
    <row r="766" spans="1:7">
      <c r="A766" t="s">
        <v>28</v>
      </c>
    </row>
    <row r="767" spans="1:7" ht="20">
      <c r="A767" s="13" t="s">
        <v>29</v>
      </c>
    </row>
    <row r="768" spans="1:7" ht="17">
      <c r="A768" s="14" t="s">
        <v>30</v>
      </c>
      <c r="B768" s="14" t="s">
        <v>6</v>
      </c>
      <c r="C768" s="14"/>
      <c r="D768" s="14"/>
      <c r="E768" s="14"/>
      <c r="F768" s="14"/>
    </row>
    <row r="769" spans="1:7" ht="17">
      <c r="A769" s="14">
        <v>16</v>
      </c>
      <c r="B769" s="14">
        <v>789</v>
      </c>
      <c r="C769" s="14"/>
      <c r="D769" s="14"/>
      <c r="E769" s="14"/>
      <c r="F769" s="14"/>
    </row>
    <row r="771" spans="1:7" ht="32">
      <c r="A771" s="1" t="s">
        <v>0</v>
      </c>
      <c r="B771" s="23" t="s">
        <v>1</v>
      </c>
      <c r="C771" s="24" t="s">
        <v>2</v>
      </c>
      <c r="D771" s="24" t="s">
        <v>3</v>
      </c>
      <c r="E771" s="25" t="s">
        <v>4</v>
      </c>
      <c r="F771" s="26" t="s">
        <v>5</v>
      </c>
      <c r="G771" s="26" t="s">
        <v>6</v>
      </c>
    </row>
    <row r="772" spans="1:7">
      <c r="A772" s="27">
        <v>1</v>
      </c>
      <c r="B772" s="28" t="s">
        <v>7</v>
      </c>
      <c r="C772" s="29" t="s">
        <v>8</v>
      </c>
      <c r="D772" s="29" t="s">
        <v>9</v>
      </c>
      <c r="E772" s="28" t="s">
        <v>10</v>
      </c>
      <c r="F772" s="29">
        <v>25</v>
      </c>
      <c r="G772" s="29">
        <v>118</v>
      </c>
    </row>
    <row r="773" spans="1:7">
      <c r="A773" s="27">
        <v>6</v>
      </c>
      <c r="B773" s="28" t="s">
        <v>11</v>
      </c>
      <c r="C773" s="29" t="s">
        <v>8</v>
      </c>
      <c r="D773" s="29" t="s">
        <v>9</v>
      </c>
      <c r="E773" s="28" t="s">
        <v>10</v>
      </c>
      <c r="F773" s="29">
        <v>51</v>
      </c>
      <c r="G773" s="29">
        <v>52</v>
      </c>
    </row>
    <row r="774" spans="1:7">
      <c r="A774" s="27">
        <v>18</v>
      </c>
      <c r="B774" s="28" t="s">
        <v>11</v>
      </c>
      <c r="C774" s="29" t="s">
        <v>8</v>
      </c>
      <c r="D774" s="29" t="s">
        <v>9</v>
      </c>
      <c r="E774" s="28" t="s">
        <v>10</v>
      </c>
      <c r="F774" s="29">
        <v>79</v>
      </c>
      <c r="G774" s="29">
        <v>142</v>
      </c>
    </row>
    <row r="775" spans="1:7">
      <c r="A775" s="27">
        <v>20</v>
      </c>
      <c r="B775" s="28" t="s">
        <v>11</v>
      </c>
      <c r="C775" s="28" t="s">
        <v>15</v>
      </c>
      <c r="D775" s="29" t="s">
        <v>9</v>
      </c>
      <c r="E775" s="28" t="s">
        <v>10</v>
      </c>
      <c r="F775" s="28">
        <v>80</v>
      </c>
      <c r="G775" s="28">
        <v>260</v>
      </c>
    </row>
    <row r="776" spans="1:7">
      <c r="A776" s="27">
        <v>22</v>
      </c>
      <c r="B776" s="28" t="s">
        <v>11</v>
      </c>
      <c r="C776" s="29" t="s">
        <v>8</v>
      </c>
      <c r="D776" s="29" t="s">
        <v>9</v>
      </c>
      <c r="E776" s="28" t="s">
        <v>10</v>
      </c>
      <c r="F776" s="29">
        <v>81</v>
      </c>
      <c r="G776" s="29">
        <v>190</v>
      </c>
    </row>
    <row r="777" spans="1:7">
      <c r="A777" s="27">
        <v>28</v>
      </c>
      <c r="B777" s="28" t="s">
        <v>11</v>
      </c>
      <c r="C777" s="29" t="s">
        <v>8</v>
      </c>
      <c r="D777" s="29" t="s">
        <v>9</v>
      </c>
      <c r="E777" s="28" t="s">
        <v>10</v>
      </c>
      <c r="F777" s="29">
        <v>87</v>
      </c>
      <c r="G777" s="29">
        <v>170</v>
      </c>
    </row>
    <row r="778" spans="1:7">
      <c r="A778" s="27">
        <v>29</v>
      </c>
      <c r="B778" s="28" t="s">
        <v>11</v>
      </c>
      <c r="C778" s="29" t="s">
        <v>8</v>
      </c>
      <c r="D778" s="29" t="s">
        <v>9</v>
      </c>
      <c r="E778" s="28" t="s">
        <v>10</v>
      </c>
      <c r="F778" s="29">
        <v>90</v>
      </c>
      <c r="G778" s="29">
        <v>189</v>
      </c>
    </row>
    <row r="779" spans="1:7">
      <c r="A779" s="27">
        <v>34</v>
      </c>
      <c r="B779" s="28" t="s">
        <v>11</v>
      </c>
      <c r="C779" s="29" t="s">
        <v>8</v>
      </c>
      <c r="D779" s="29" t="s">
        <v>9</v>
      </c>
      <c r="E779" s="28" t="s">
        <v>10</v>
      </c>
      <c r="F779" s="29">
        <v>102</v>
      </c>
      <c r="G779" s="29">
        <v>200</v>
      </c>
    </row>
    <row r="780" spans="1:7">
      <c r="A780" s="27">
        <v>42</v>
      </c>
      <c r="B780" s="28" t="s">
        <v>11</v>
      </c>
      <c r="C780" s="29" t="s">
        <v>8</v>
      </c>
      <c r="D780" s="29" t="s">
        <v>9</v>
      </c>
      <c r="E780" s="28" t="s">
        <v>16</v>
      </c>
      <c r="F780" s="29">
        <v>115</v>
      </c>
      <c r="G780" s="29">
        <v>285</v>
      </c>
    </row>
    <row r="781" spans="1:7">
      <c r="A781" s="27">
        <v>53</v>
      </c>
      <c r="B781" s="28" t="s">
        <v>11</v>
      </c>
      <c r="C781" s="29" t="s">
        <v>8</v>
      </c>
      <c r="D781" s="29" t="s">
        <v>9</v>
      </c>
      <c r="E781" s="28" t="s">
        <v>10</v>
      </c>
      <c r="F781" s="29">
        <v>136</v>
      </c>
      <c r="G781" s="29">
        <v>220</v>
      </c>
    </row>
    <row r="782" spans="1:7">
      <c r="A782" s="27">
        <v>56</v>
      </c>
      <c r="B782" s="28" t="s">
        <v>11</v>
      </c>
      <c r="C782" s="29" t="s">
        <v>8</v>
      </c>
      <c r="D782" s="29" t="s">
        <v>9</v>
      </c>
      <c r="E782" s="28" t="s">
        <v>10</v>
      </c>
      <c r="F782" s="29">
        <v>148</v>
      </c>
      <c r="G782" s="29">
        <v>186</v>
      </c>
    </row>
    <row r="783" spans="1:7">
      <c r="A783" s="27">
        <v>57</v>
      </c>
      <c r="B783" s="28" t="s">
        <v>11</v>
      </c>
      <c r="C783" s="29" t="s">
        <v>8</v>
      </c>
      <c r="D783" s="29" t="s">
        <v>9</v>
      </c>
      <c r="E783" s="28" t="s">
        <v>10</v>
      </c>
      <c r="F783" s="29">
        <v>152</v>
      </c>
      <c r="G783" s="29">
        <v>237</v>
      </c>
    </row>
    <row r="784" spans="1:7">
      <c r="A784" s="27">
        <v>62</v>
      </c>
      <c r="B784" s="28" t="s">
        <v>11</v>
      </c>
      <c r="C784" s="29" t="s">
        <v>8</v>
      </c>
      <c r="D784" s="29" t="s">
        <v>9</v>
      </c>
      <c r="E784" s="28" t="s">
        <v>10</v>
      </c>
      <c r="F784" s="29">
        <v>160</v>
      </c>
      <c r="G784" s="29">
        <v>242</v>
      </c>
    </row>
    <row r="785" spans="1:8">
      <c r="A785" s="27">
        <v>65</v>
      </c>
      <c r="B785" s="28" t="s">
        <v>11</v>
      </c>
      <c r="C785" s="29" t="s">
        <v>8</v>
      </c>
      <c r="D785" s="29" t="s">
        <v>9</v>
      </c>
      <c r="E785" s="28" t="s">
        <v>10</v>
      </c>
      <c r="F785" s="29">
        <v>169</v>
      </c>
      <c r="G785" s="29">
        <v>215</v>
      </c>
    </row>
    <row r="786" spans="1:8">
      <c r="A786" s="27">
        <v>67</v>
      </c>
      <c r="B786" s="28" t="s">
        <v>11</v>
      </c>
      <c r="C786" s="29" t="s">
        <v>8</v>
      </c>
      <c r="D786" s="29" t="s">
        <v>9</v>
      </c>
      <c r="E786" s="28" t="s">
        <v>16</v>
      </c>
      <c r="F786" s="29">
        <v>178</v>
      </c>
      <c r="G786" s="29">
        <v>290</v>
      </c>
    </row>
    <row r="787" spans="1:8">
      <c r="A787" s="27">
        <v>68</v>
      </c>
      <c r="B787" s="28" t="s">
        <v>7</v>
      </c>
      <c r="C787" s="28" t="s">
        <v>15</v>
      </c>
      <c r="D787" s="29" t="s">
        <v>9</v>
      </c>
      <c r="E787" s="28" t="s">
        <v>16</v>
      </c>
      <c r="F787" s="29">
        <v>179</v>
      </c>
      <c r="G787" s="29">
        <v>789</v>
      </c>
      <c r="H787" s="31" t="s">
        <v>31</v>
      </c>
    </row>
    <row r="789" spans="1:8" ht="32">
      <c r="A789" s="1" t="s">
        <v>0</v>
      </c>
      <c r="B789" s="23" t="s">
        <v>1</v>
      </c>
      <c r="C789" s="24" t="s">
        <v>2</v>
      </c>
      <c r="D789" s="24" t="s">
        <v>3</v>
      </c>
      <c r="E789" s="25" t="s">
        <v>4</v>
      </c>
      <c r="F789" s="26" t="s">
        <v>5</v>
      </c>
      <c r="G789" s="26" t="s">
        <v>6</v>
      </c>
    </row>
    <row r="790" spans="1:8">
      <c r="A790" s="27">
        <v>1</v>
      </c>
      <c r="B790" s="28" t="s">
        <v>7</v>
      </c>
      <c r="C790" s="29" t="s">
        <v>8</v>
      </c>
      <c r="D790" s="29" t="s">
        <v>9</v>
      </c>
      <c r="E790" s="28" t="s">
        <v>10</v>
      </c>
      <c r="F790" s="29">
        <v>25</v>
      </c>
      <c r="G790" s="29">
        <v>118</v>
      </c>
    </row>
    <row r="791" spans="1:8">
      <c r="A791" s="27">
        <v>6</v>
      </c>
      <c r="B791" s="28" t="s">
        <v>11</v>
      </c>
      <c r="C791" s="29" t="s">
        <v>8</v>
      </c>
      <c r="D791" s="29" t="s">
        <v>9</v>
      </c>
      <c r="E791" s="28" t="s">
        <v>10</v>
      </c>
      <c r="F791" s="29">
        <v>51</v>
      </c>
      <c r="G791" s="29">
        <v>52</v>
      </c>
    </row>
    <row r="792" spans="1:8">
      <c r="A792" s="27">
        <v>18</v>
      </c>
      <c r="B792" s="28" t="s">
        <v>11</v>
      </c>
      <c r="C792" s="29" t="s">
        <v>8</v>
      </c>
      <c r="D792" s="29" t="s">
        <v>9</v>
      </c>
      <c r="E792" s="28" t="s">
        <v>10</v>
      </c>
      <c r="F792" s="29">
        <v>79</v>
      </c>
      <c r="G792" s="29">
        <v>142</v>
      </c>
    </row>
    <row r="793" spans="1:8">
      <c r="A793" s="27">
        <v>20</v>
      </c>
      <c r="B793" s="28" t="s">
        <v>11</v>
      </c>
      <c r="C793" s="28" t="s">
        <v>15</v>
      </c>
      <c r="D793" s="29" t="s">
        <v>9</v>
      </c>
      <c r="E793" s="28" t="s">
        <v>10</v>
      </c>
      <c r="F793" s="28">
        <v>80</v>
      </c>
      <c r="G793" s="28">
        <v>260</v>
      </c>
    </row>
    <row r="794" spans="1:8">
      <c r="A794" s="27">
        <v>22</v>
      </c>
      <c r="B794" s="28" t="s">
        <v>11</v>
      </c>
      <c r="C794" s="29" t="s">
        <v>8</v>
      </c>
      <c r="D794" s="29" t="s">
        <v>9</v>
      </c>
      <c r="E794" s="28" t="s">
        <v>10</v>
      </c>
      <c r="F794" s="29">
        <v>81</v>
      </c>
      <c r="G794" s="29">
        <v>190</v>
      </c>
    </row>
    <row r="795" spans="1:8">
      <c r="A795" s="27">
        <v>28</v>
      </c>
      <c r="B795" s="28" t="s">
        <v>11</v>
      </c>
      <c r="C795" s="29" t="s">
        <v>8</v>
      </c>
      <c r="D795" s="29" t="s">
        <v>9</v>
      </c>
      <c r="E795" s="28" t="s">
        <v>10</v>
      </c>
      <c r="F795" s="29">
        <v>87</v>
      </c>
      <c r="G795" s="29">
        <v>170</v>
      </c>
    </row>
    <row r="796" spans="1:8">
      <c r="A796" s="27">
        <v>29</v>
      </c>
      <c r="B796" s="28" t="s">
        <v>11</v>
      </c>
      <c r="C796" s="29" t="s">
        <v>8</v>
      </c>
      <c r="D796" s="29" t="s">
        <v>9</v>
      </c>
      <c r="E796" s="28" t="s">
        <v>10</v>
      </c>
      <c r="F796" s="29">
        <v>90</v>
      </c>
      <c r="G796" s="29">
        <v>189</v>
      </c>
    </row>
    <row r="797" spans="1:8">
      <c r="A797" s="27">
        <v>34</v>
      </c>
      <c r="B797" s="28" t="s">
        <v>11</v>
      </c>
      <c r="C797" s="29" t="s">
        <v>8</v>
      </c>
      <c r="D797" s="29" t="s">
        <v>9</v>
      </c>
      <c r="E797" s="28" t="s">
        <v>10</v>
      </c>
      <c r="F797" s="29">
        <v>102</v>
      </c>
      <c r="G797" s="29">
        <v>200</v>
      </c>
    </row>
    <row r="798" spans="1:8">
      <c r="A798" s="27">
        <v>42</v>
      </c>
      <c r="B798" s="28" t="s">
        <v>11</v>
      </c>
      <c r="C798" s="29" t="s">
        <v>8</v>
      </c>
      <c r="D798" s="29" t="s">
        <v>9</v>
      </c>
      <c r="E798" s="28" t="s">
        <v>16</v>
      </c>
      <c r="F798" s="29">
        <v>115</v>
      </c>
      <c r="G798" s="29">
        <v>285</v>
      </c>
    </row>
    <row r="799" spans="1:8">
      <c r="A799" s="27">
        <v>53</v>
      </c>
      <c r="B799" s="28" t="s">
        <v>11</v>
      </c>
      <c r="C799" s="29" t="s">
        <v>8</v>
      </c>
      <c r="D799" s="29" t="s">
        <v>9</v>
      </c>
      <c r="E799" s="28" t="s">
        <v>10</v>
      </c>
      <c r="F799" s="29">
        <v>136</v>
      </c>
      <c r="G799" s="29">
        <v>220</v>
      </c>
    </row>
    <row r="800" spans="1:8">
      <c r="A800" s="27">
        <v>56</v>
      </c>
      <c r="B800" s="28" t="s">
        <v>11</v>
      </c>
      <c r="C800" s="29" t="s">
        <v>8</v>
      </c>
      <c r="D800" s="29" t="s">
        <v>9</v>
      </c>
      <c r="E800" s="28" t="s">
        <v>10</v>
      </c>
      <c r="F800" s="29">
        <v>148</v>
      </c>
      <c r="G800" s="29">
        <v>186</v>
      </c>
    </row>
    <row r="801" spans="1:8">
      <c r="A801" s="27">
        <v>57</v>
      </c>
      <c r="B801" s="28" t="s">
        <v>11</v>
      </c>
      <c r="C801" s="29" t="s">
        <v>8</v>
      </c>
      <c r="D801" s="29" t="s">
        <v>9</v>
      </c>
      <c r="E801" s="28" t="s">
        <v>10</v>
      </c>
      <c r="F801" s="29">
        <v>152</v>
      </c>
      <c r="G801" s="29">
        <v>237</v>
      </c>
    </row>
    <row r="802" spans="1:8">
      <c r="A802" s="27">
        <v>62</v>
      </c>
      <c r="B802" s="28" t="s">
        <v>11</v>
      </c>
      <c r="C802" s="29" t="s">
        <v>8</v>
      </c>
      <c r="D802" s="29" t="s">
        <v>9</v>
      </c>
      <c r="E802" s="28" t="s">
        <v>10</v>
      </c>
      <c r="F802" s="29">
        <v>160</v>
      </c>
      <c r="G802" s="29">
        <v>242</v>
      </c>
    </row>
    <row r="803" spans="1:8">
      <c r="A803" s="27">
        <v>65</v>
      </c>
      <c r="B803" s="28" t="s">
        <v>11</v>
      </c>
      <c r="C803" s="29" t="s">
        <v>8</v>
      </c>
      <c r="D803" s="29" t="s">
        <v>9</v>
      </c>
      <c r="E803" s="28" t="s">
        <v>10</v>
      </c>
      <c r="F803" s="29">
        <v>169</v>
      </c>
      <c r="G803" s="29">
        <v>215</v>
      </c>
    </row>
    <row r="804" spans="1:8">
      <c r="A804" s="27">
        <v>67</v>
      </c>
      <c r="B804" s="28" t="s">
        <v>11</v>
      </c>
      <c r="C804" s="29" t="s">
        <v>8</v>
      </c>
      <c r="D804" s="29" t="s">
        <v>9</v>
      </c>
      <c r="E804" s="28" t="s">
        <v>16</v>
      </c>
      <c r="F804" s="29">
        <v>178</v>
      </c>
      <c r="G804" s="29">
        <v>290</v>
      </c>
    </row>
    <row r="806" spans="1:8">
      <c r="A806" t="s">
        <v>28</v>
      </c>
    </row>
    <row r="807" spans="1:8" ht="20">
      <c r="A807" s="13" t="s">
        <v>29</v>
      </c>
    </row>
    <row r="808" spans="1:8" ht="17">
      <c r="A808" s="14" t="s">
        <v>30</v>
      </c>
      <c r="B808" s="14" t="s">
        <v>6</v>
      </c>
      <c r="C808" s="14"/>
      <c r="D808" s="14"/>
      <c r="E808" s="14"/>
      <c r="F808" s="14"/>
    </row>
    <row r="809" spans="1:8" ht="17">
      <c r="A809" s="14">
        <v>2</v>
      </c>
      <c r="B809" s="14">
        <v>52</v>
      </c>
      <c r="C809" s="14"/>
      <c r="D809" s="14"/>
      <c r="E809" s="14"/>
      <c r="F809" s="14"/>
    </row>
    <row r="811" spans="1:8" ht="32">
      <c r="A811" s="1" t="s">
        <v>0</v>
      </c>
      <c r="B811" s="23" t="s">
        <v>1</v>
      </c>
      <c r="C811" s="24" t="s">
        <v>2</v>
      </c>
      <c r="D811" s="24" t="s">
        <v>3</v>
      </c>
      <c r="E811" s="25" t="s">
        <v>4</v>
      </c>
      <c r="F811" s="26" t="s">
        <v>5</v>
      </c>
      <c r="G811" s="26" t="s">
        <v>6</v>
      </c>
    </row>
    <row r="812" spans="1:8">
      <c r="A812" s="27">
        <v>1</v>
      </c>
      <c r="B812" s="28" t="s">
        <v>7</v>
      </c>
      <c r="C812" s="29" t="s">
        <v>8</v>
      </c>
      <c r="D812" s="29" t="s">
        <v>9</v>
      </c>
      <c r="E812" s="28" t="s">
        <v>10</v>
      </c>
      <c r="F812" s="29">
        <v>25</v>
      </c>
      <c r="G812" s="29">
        <v>118</v>
      </c>
    </row>
    <row r="813" spans="1:8">
      <c r="A813" s="27">
        <v>6</v>
      </c>
      <c r="B813" s="28" t="s">
        <v>11</v>
      </c>
      <c r="C813" s="29" t="s">
        <v>8</v>
      </c>
      <c r="D813" s="29" t="s">
        <v>9</v>
      </c>
      <c r="E813" s="28" t="s">
        <v>10</v>
      </c>
      <c r="F813" s="29">
        <v>51</v>
      </c>
      <c r="G813" s="29">
        <v>52</v>
      </c>
      <c r="H813" s="31" t="s">
        <v>31</v>
      </c>
    </row>
    <row r="814" spans="1:8">
      <c r="A814" s="27">
        <v>18</v>
      </c>
      <c r="B814" s="28" t="s">
        <v>11</v>
      </c>
      <c r="C814" s="29" t="s">
        <v>8</v>
      </c>
      <c r="D814" s="29" t="s">
        <v>9</v>
      </c>
      <c r="E814" s="28" t="s">
        <v>10</v>
      </c>
      <c r="F814" s="29">
        <v>79</v>
      </c>
      <c r="G814" s="29">
        <v>142</v>
      </c>
    </row>
    <row r="815" spans="1:8">
      <c r="A815" s="27">
        <v>20</v>
      </c>
      <c r="B815" s="28" t="s">
        <v>11</v>
      </c>
      <c r="C815" s="28" t="s">
        <v>15</v>
      </c>
      <c r="D815" s="29" t="s">
        <v>9</v>
      </c>
      <c r="E815" s="28" t="s">
        <v>10</v>
      </c>
      <c r="F815" s="28">
        <v>80</v>
      </c>
      <c r="G815" s="28">
        <v>260</v>
      </c>
    </row>
    <row r="816" spans="1:8">
      <c r="A816" s="27">
        <v>22</v>
      </c>
      <c r="B816" s="28" t="s">
        <v>11</v>
      </c>
      <c r="C816" s="29" t="s">
        <v>8</v>
      </c>
      <c r="D816" s="29" t="s">
        <v>9</v>
      </c>
      <c r="E816" s="28" t="s">
        <v>10</v>
      </c>
      <c r="F816" s="29">
        <v>81</v>
      </c>
      <c r="G816" s="29">
        <v>190</v>
      </c>
    </row>
    <row r="817" spans="1:7">
      <c r="A817" s="27">
        <v>28</v>
      </c>
      <c r="B817" s="28" t="s">
        <v>11</v>
      </c>
      <c r="C817" s="29" t="s">
        <v>8</v>
      </c>
      <c r="D817" s="29" t="s">
        <v>9</v>
      </c>
      <c r="E817" s="28" t="s">
        <v>10</v>
      </c>
      <c r="F817" s="29">
        <v>87</v>
      </c>
      <c r="G817" s="29">
        <v>170</v>
      </c>
    </row>
    <row r="818" spans="1:7">
      <c r="A818" s="27">
        <v>29</v>
      </c>
      <c r="B818" s="28" t="s">
        <v>11</v>
      </c>
      <c r="C818" s="29" t="s">
        <v>8</v>
      </c>
      <c r="D818" s="29" t="s">
        <v>9</v>
      </c>
      <c r="E818" s="28" t="s">
        <v>10</v>
      </c>
      <c r="F818" s="29">
        <v>90</v>
      </c>
      <c r="G818" s="29">
        <v>189</v>
      </c>
    </row>
    <row r="819" spans="1:7">
      <c r="A819" s="27">
        <v>34</v>
      </c>
      <c r="B819" s="28" t="s">
        <v>11</v>
      </c>
      <c r="C819" s="29" t="s">
        <v>8</v>
      </c>
      <c r="D819" s="29" t="s">
        <v>9</v>
      </c>
      <c r="E819" s="28" t="s">
        <v>10</v>
      </c>
      <c r="F819" s="29">
        <v>102</v>
      </c>
      <c r="G819" s="29">
        <v>200</v>
      </c>
    </row>
    <row r="820" spans="1:7">
      <c r="A820" s="27">
        <v>42</v>
      </c>
      <c r="B820" s="28" t="s">
        <v>11</v>
      </c>
      <c r="C820" s="29" t="s">
        <v>8</v>
      </c>
      <c r="D820" s="29" t="s">
        <v>9</v>
      </c>
      <c r="E820" s="28" t="s">
        <v>16</v>
      </c>
      <c r="F820" s="29">
        <v>115</v>
      </c>
      <c r="G820" s="29">
        <v>285</v>
      </c>
    </row>
    <row r="821" spans="1:7">
      <c r="A821" s="27">
        <v>53</v>
      </c>
      <c r="B821" s="28" t="s">
        <v>11</v>
      </c>
      <c r="C821" s="29" t="s">
        <v>8</v>
      </c>
      <c r="D821" s="29" t="s">
        <v>9</v>
      </c>
      <c r="E821" s="28" t="s">
        <v>10</v>
      </c>
      <c r="F821" s="29">
        <v>136</v>
      </c>
      <c r="G821" s="29">
        <v>220</v>
      </c>
    </row>
    <row r="822" spans="1:7">
      <c r="A822" s="27">
        <v>56</v>
      </c>
      <c r="B822" s="28" t="s">
        <v>11</v>
      </c>
      <c r="C822" s="29" t="s">
        <v>8</v>
      </c>
      <c r="D822" s="29" t="s">
        <v>9</v>
      </c>
      <c r="E822" s="28" t="s">
        <v>10</v>
      </c>
      <c r="F822" s="29">
        <v>148</v>
      </c>
      <c r="G822" s="29">
        <v>186</v>
      </c>
    </row>
    <row r="823" spans="1:7">
      <c r="A823" s="27">
        <v>57</v>
      </c>
      <c r="B823" s="28" t="s">
        <v>11</v>
      </c>
      <c r="C823" s="29" t="s">
        <v>8</v>
      </c>
      <c r="D823" s="29" t="s">
        <v>9</v>
      </c>
      <c r="E823" s="28" t="s">
        <v>10</v>
      </c>
      <c r="F823" s="29">
        <v>152</v>
      </c>
      <c r="G823" s="29">
        <v>237</v>
      </c>
    </row>
    <row r="824" spans="1:7">
      <c r="A824" s="27">
        <v>62</v>
      </c>
      <c r="B824" s="28" t="s">
        <v>11</v>
      </c>
      <c r="C824" s="29" t="s">
        <v>8</v>
      </c>
      <c r="D824" s="29" t="s">
        <v>9</v>
      </c>
      <c r="E824" s="28" t="s">
        <v>10</v>
      </c>
      <c r="F824" s="29">
        <v>160</v>
      </c>
      <c r="G824" s="29">
        <v>242</v>
      </c>
    </row>
    <row r="825" spans="1:7">
      <c r="A825" s="27">
        <v>65</v>
      </c>
      <c r="B825" s="28" t="s">
        <v>11</v>
      </c>
      <c r="C825" s="29" t="s">
        <v>8</v>
      </c>
      <c r="D825" s="29" t="s">
        <v>9</v>
      </c>
      <c r="E825" s="28" t="s">
        <v>10</v>
      </c>
      <c r="F825" s="29">
        <v>169</v>
      </c>
      <c r="G825" s="29">
        <v>215</v>
      </c>
    </row>
    <row r="826" spans="1:7">
      <c r="A826" s="27">
        <v>67</v>
      </c>
      <c r="B826" s="28" t="s">
        <v>11</v>
      </c>
      <c r="C826" s="29" t="s">
        <v>8</v>
      </c>
      <c r="D826" s="29" t="s">
        <v>9</v>
      </c>
      <c r="E826" s="28" t="s">
        <v>16</v>
      </c>
      <c r="F826" s="29">
        <v>178</v>
      </c>
      <c r="G826" s="29">
        <v>290</v>
      </c>
    </row>
    <row r="829" spans="1:7" ht="32">
      <c r="A829" s="1" t="s">
        <v>0</v>
      </c>
      <c r="B829" s="23" t="s">
        <v>1</v>
      </c>
      <c r="C829" s="24" t="s">
        <v>2</v>
      </c>
      <c r="D829" s="24" t="s">
        <v>3</v>
      </c>
      <c r="E829" s="25" t="s">
        <v>4</v>
      </c>
      <c r="F829" s="26" t="s">
        <v>5</v>
      </c>
      <c r="G829" s="26" t="s">
        <v>6</v>
      </c>
    </row>
    <row r="830" spans="1:7">
      <c r="A830" s="27">
        <v>1</v>
      </c>
      <c r="B830" s="28" t="s">
        <v>7</v>
      </c>
      <c r="C830" s="29" t="s">
        <v>8</v>
      </c>
      <c r="D830" s="29" t="s">
        <v>9</v>
      </c>
      <c r="E830" s="28" t="s">
        <v>10</v>
      </c>
      <c r="F830" s="29">
        <v>25</v>
      </c>
      <c r="G830" s="29">
        <v>118</v>
      </c>
    </row>
    <row r="831" spans="1:7">
      <c r="A831" s="27">
        <v>18</v>
      </c>
      <c r="B831" s="28" t="s">
        <v>11</v>
      </c>
      <c r="C831" s="29" t="s">
        <v>8</v>
      </c>
      <c r="D831" s="29" t="s">
        <v>9</v>
      </c>
      <c r="E831" s="28" t="s">
        <v>10</v>
      </c>
      <c r="F831" s="29">
        <v>79</v>
      </c>
      <c r="G831" s="29">
        <v>142</v>
      </c>
    </row>
    <row r="832" spans="1:7">
      <c r="A832" s="27">
        <v>20</v>
      </c>
      <c r="B832" s="28" t="s">
        <v>11</v>
      </c>
      <c r="C832" s="28" t="s">
        <v>15</v>
      </c>
      <c r="D832" s="29" t="s">
        <v>9</v>
      </c>
      <c r="E832" s="28" t="s">
        <v>10</v>
      </c>
      <c r="F832" s="28">
        <v>80</v>
      </c>
      <c r="G832" s="28">
        <v>260</v>
      </c>
    </row>
    <row r="833" spans="1:7">
      <c r="A833" s="27">
        <v>22</v>
      </c>
      <c r="B833" s="28" t="s">
        <v>11</v>
      </c>
      <c r="C833" s="29" t="s">
        <v>8</v>
      </c>
      <c r="D833" s="29" t="s">
        <v>9</v>
      </c>
      <c r="E833" s="28" t="s">
        <v>10</v>
      </c>
      <c r="F833" s="29">
        <v>81</v>
      </c>
      <c r="G833" s="29">
        <v>190</v>
      </c>
    </row>
    <row r="834" spans="1:7">
      <c r="A834" s="27">
        <v>28</v>
      </c>
      <c r="B834" s="28" t="s">
        <v>11</v>
      </c>
      <c r="C834" s="29" t="s">
        <v>8</v>
      </c>
      <c r="D834" s="29" t="s">
        <v>9</v>
      </c>
      <c r="E834" s="28" t="s">
        <v>10</v>
      </c>
      <c r="F834" s="29">
        <v>87</v>
      </c>
      <c r="G834" s="29">
        <v>170</v>
      </c>
    </row>
    <row r="835" spans="1:7">
      <c r="A835" s="27">
        <v>29</v>
      </c>
      <c r="B835" s="28" t="s">
        <v>11</v>
      </c>
      <c r="C835" s="29" t="s">
        <v>8</v>
      </c>
      <c r="D835" s="29" t="s">
        <v>9</v>
      </c>
      <c r="E835" s="28" t="s">
        <v>10</v>
      </c>
      <c r="F835" s="29">
        <v>90</v>
      </c>
      <c r="G835" s="29">
        <v>189</v>
      </c>
    </row>
    <row r="836" spans="1:7">
      <c r="A836" s="27">
        <v>34</v>
      </c>
      <c r="B836" s="28" t="s">
        <v>11</v>
      </c>
      <c r="C836" s="29" t="s">
        <v>8</v>
      </c>
      <c r="D836" s="29" t="s">
        <v>9</v>
      </c>
      <c r="E836" s="28" t="s">
        <v>10</v>
      </c>
      <c r="F836" s="29">
        <v>102</v>
      </c>
      <c r="G836" s="29">
        <v>200</v>
      </c>
    </row>
    <row r="837" spans="1:7">
      <c r="A837" s="27">
        <v>42</v>
      </c>
      <c r="B837" s="28" t="s">
        <v>11</v>
      </c>
      <c r="C837" s="29" t="s">
        <v>8</v>
      </c>
      <c r="D837" s="29" t="s">
        <v>9</v>
      </c>
      <c r="E837" s="28" t="s">
        <v>16</v>
      </c>
      <c r="F837" s="29">
        <v>115</v>
      </c>
      <c r="G837" s="29">
        <v>285</v>
      </c>
    </row>
    <row r="838" spans="1:7">
      <c r="A838" s="27">
        <v>53</v>
      </c>
      <c r="B838" s="28" t="s">
        <v>11</v>
      </c>
      <c r="C838" s="29" t="s">
        <v>8</v>
      </c>
      <c r="D838" s="29" t="s">
        <v>9</v>
      </c>
      <c r="E838" s="28" t="s">
        <v>10</v>
      </c>
      <c r="F838" s="29">
        <v>136</v>
      </c>
      <c r="G838" s="29">
        <v>220</v>
      </c>
    </row>
    <row r="839" spans="1:7">
      <c r="A839" s="27">
        <v>56</v>
      </c>
      <c r="B839" s="28" t="s">
        <v>11</v>
      </c>
      <c r="C839" s="29" t="s">
        <v>8</v>
      </c>
      <c r="D839" s="29" t="s">
        <v>9</v>
      </c>
      <c r="E839" s="28" t="s">
        <v>10</v>
      </c>
      <c r="F839" s="29">
        <v>148</v>
      </c>
      <c r="G839" s="29">
        <v>186</v>
      </c>
    </row>
    <row r="840" spans="1:7">
      <c r="A840" s="27">
        <v>57</v>
      </c>
      <c r="B840" s="28" t="s">
        <v>11</v>
      </c>
      <c r="C840" s="29" t="s">
        <v>8</v>
      </c>
      <c r="D840" s="29" t="s">
        <v>9</v>
      </c>
      <c r="E840" s="28" t="s">
        <v>10</v>
      </c>
      <c r="F840" s="29">
        <v>152</v>
      </c>
      <c r="G840" s="29">
        <v>237</v>
      </c>
    </row>
    <row r="841" spans="1:7">
      <c r="A841" s="27">
        <v>62</v>
      </c>
      <c r="B841" s="28" t="s">
        <v>11</v>
      </c>
      <c r="C841" s="29" t="s">
        <v>8</v>
      </c>
      <c r="D841" s="29" t="s">
        <v>9</v>
      </c>
      <c r="E841" s="28" t="s">
        <v>10</v>
      </c>
      <c r="F841" s="29">
        <v>160</v>
      </c>
      <c r="G841" s="29">
        <v>242</v>
      </c>
    </row>
    <row r="842" spans="1:7">
      <c r="A842" s="27">
        <v>65</v>
      </c>
      <c r="B842" s="28" t="s">
        <v>11</v>
      </c>
      <c r="C842" s="29" t="s">
        <v>8</v>
      </c>
      <c r="D842" s="29" t="s">
        <v>9</v>
      </c>
      <c r="E842" s="28" t="s">
        <v>10</v>
      </c>
      <c r="F842" s="29">
        <v>169</v>
      </c>
      <c r="G842" s="29">
        <v>215</v>
      </c>
    </row>
    <row r="843" spans="1:7">
      <c r="A843" s="27">
        <v>67</v>
      </c>
      <c r="B843" s="28" t="s">
        <v>11</v>
      </c>
      <c r="C843" s="29" t="s">
        <v>8</v>
      </c>
      <c r="D843" s="29" t="s">
        <v>9</v>
      </c>
      <c r="E843" s="28" t="s">
        <v>16</v>
      </c>
      <c r="F843" s="29">
        <v>178</v>
      </c>
      <c r="G843" s="29">
        <v>290</v>
      </c>
    </row>
    <row r="845" spans="1:7">
      <c r="A845" t="s">
        <v>28</v>
      </c>
    </row>
    <row r="846" spans="1:7" ht="20">
      <c r="A846" s="13" t="s">
        <v>29</v>
      </c>
    </row>
    <row r="847" spans="1:7" ht="17">
      <c r="A847" s="14" t="s">
        <v>30</v>
      </c>
      <c r="B847" s="14" t="s">
        <v>6</v>
      </c>
      <c r="C847" s="14"/>
      <c r="D847" s="14"/>
      <c r="E847" s="14"/>
      <c r="F847" s="14"/>
    </row>
    <row r="848" spans="1:7" ht="17">
      <c r="A848" s="14">
        <v>3</v>
      </c>
      <c r="B848" s="14">
        <v>260</v>
      </c>
      <c r="C848" s="14"/>
      <c r="D848" s="14"/>
      <c r="E848" s="14"/>
      <c r="F848" s="14"/>
    </row>
    <row r="850" spans="1:8" ht="32">
      <c r="A850" s="1" t="s">
        <v>0</v>
      </c>
      <c r="B850" s="23" t="s">
        <v>1</v>
      </c>
      <c r="C850" s="24" t="s">
        <v>2</v>
      </c>
      <c r="D850" s="24" t="s">
        <v>3</v>
      </c>
      <c r="E850" s="25" t="s">
        <v>4</v>
      </c>
      <c r="F850" s="26" t="s">
        <v>5</v>
      </c>
      <c r="G850" s="26" t="s">
        <v>6</v>
      </c>
    </row>
    <row r="851" spans="1:8">
      <c r="A851" s="27">
        <v>1</v>
      </c>
      <c r="B851" s="28" t="s">
        <v>7</v>
      </c>
      <c r="C851" s="29" t="s">
        <v>8</v>
      </c>
      <c r="D851" s="29" t="s">
        <v>9</v>
      </c>
      <c r="E851" s="28" t="s">
        <v>10</v>
      </c>
      <c r="F851" s="29">
        <v>25</v>
      </c>
      <c r="G851" s="29">
        <v>118</v>
      </c>
    </row>
    <row r="852" spans="1:8">
      <c r="A852" s="27">
        <v>18</v>
      </c>
      <c r="B852" s="28" t="s">
        <v>11</v>
      </c>
      <c r="C852" s="29" t="s">
        <v>8</v>
      </c>
      <c r="D852" s="29" t="s">
        <v>9</v>
      </c>
      <c r="E852" s="28" t="s">
        <v>10</v>
      </c>
      <c r="F852" s="29">
        <v>79</v>
      </c>
      <c r="G852" s="29">
        <v>142</v>
      </c>
    </row>
    <row r="853" spans="1:8">
      <c r="A853" s="27">
        <v>20</v>
      </c>
      <c r="B853" s="28" t="s">
        <v>11</v>
      </c>
      <c r="C853" s="28" t="s">
        <v>15</v>
      </c>
      <c r="D853" s="29" t="s">
        <v>9</v>
      </c>
      <c r="E853" s="28" t="s">
        <v>10</v>
      </c>
      <c r="F853" s="28">
        <v>80</v>
      </c>
      <c r="G853" s="28">
        <v>260</v>
      </c>
      <c r="H853" s="32" t="s">
        <v>31</v>
      </c>
    </row>
    <row r="854" spans="1:8">
      <c r="A854" s="27">
        <v>22</v>
      </c>
      <c r="B854" s="28" t="s">
        <v>11</v>
      </c>
      <c r="C854" s="29" t="s">
        <v>8</v>
      </c>
      <c r="D854" s="29" t="s">
        <v>9</v>
      </c>
      <c r="E854" s="28" t="s">
        <v>10</v>
      </c>
      <c r="F854" s="29">
        <v>81</v>
      </c>
      <c r="G854" s="29">
        <v>190</v>
      </c>
    </row>
    <row r="855" spans="1:8">
      <c r="A855" s="27">
        <v>28</v>
      </c>
      <c r="B855" s="28" t="s">
        <v>11</v>
      </c>
      <c r="C855" s="29" t="s">
        <v>8</v>
      </c>
      <c r="D855" s="29" t="s">
        <v>9</v>
      </c>
      <c r="E855" s="28" t="s">
        <v>10</v>
      </c>
      <c r="F855" s="29">
        <v>87</v>
      </c>
      <c r="G855" s="29">
        <v>170</v>
      </c>
    </row>
    <row r="856" spans="1:8">
      <c r="A856" s="27">
        <v>29</v>
      </c>
      <c r="B856" s="28" t="s">
        <v>11</v>
      </c>
      <c r="C856" s="29" t="s">
        <v>8</v>
      </c>
      <c r="D856" s="29" t="s">
        <v>9</v>
      </c>
      <c r="E856" s="28" t="s">
        <v>10</v>
      </c>
      <c r="F856" s="29">
        <v>90</v>
      </c>
      <c r="G856" s="29">
        <v>189</v>
      </c>
    </row>
    <row r="857" spans="1:8">
      <c r="A857" s="27">
        <v>34</v>
      </c>
      <c r="B857" s="28" t="s">
        <v>11</v>
      </c>
      <c r="C857" s="29" t="s">
        <v>8</v>
      </c>
      <c r="D857" s="29" t="s">
        <v>9</v>
      </c>
      <c r="E857" s="28" t="s">
        <v>10</v>
      </c>
      <c r="F857" s="29">
        <v>102</v>
      </c>
      <c r="G857" s="29">
        <v>200</v>
      </c>
    </row>
    <row r="858" spans="1:8">
      <c r="A858" s="27">
        <v>42</v>
      </c>
      <c r="B858" s="28" t="s">
        <v>11</v>
      </c>
      <c r="C858" s="29" t="s">
        <v>8</v>
      </c>
      <c r="D858" s="29" t="s">
        <v>9</v>
      </c>
      <c r="E858" s="28" t="s">
        <v>16</v>
      </c>
      <c r="F858" s="29">
        <v>115</v>
      </c>
      <c r="G858" s="29">
        <v>285</v>
      </c>
    </row>
    <row r="859" spans="1:8">
      <c r="A859" s="27">
        <v>53</v>
      </c>
      <c r="B859" s="28" t="s">
        <v>11</v>
      </c>
      <c r="C859" s="29" t="s">
        <v>8</v>
      </c>
      <c r="D859" s="29" t="s">
        <v>9</v>
      </c>
      <c r="E859" s="28" t="s">
        <v>10</v>
      </c>
      <c r="F859" s="29">
        <v>136</v>
      </c>
      <c r="G859" s="29">
        <v>220</v>
      </c>
    </row>
    <row r="860" spans="1:8">
      <c r="A860" s="27">
        <v>56</v>
      </c>
      <c r="B860" s="28" t="s">
        <v>11</v>
      </c>
      <c r="C860" s="29" t="s">
        <v>8</v>
      </c>
      <c r="D860" s="29" t="s">
        <v>9</v>
      </c>
      <c r="E860" s="28" t="s">
        <v>10</v>
      </c>
      <c r="F860" s="29">
        <v>148</v>
      </c>
      <c r="G860" s="29">
        <v>186</v>
      </c>
    </row>
    <row r="861" spans="1:8">
      <c r="A861" s="27">
        <v>57</v>
      </c>
      <c r="B861" s="28" t="s">
        <v>11</v>
      </c>
      <c r="C861" s="29" t="s">
        <v>8</v>
      </c>
      <c r="D861" s="29" t="s">
        <v>9</v>
      </c>
      <c r="E861" s="28" t="s">
        <v>10</v>
      </c>
      <c r="F861" s="29">
        <v>152</v>
      </c>
      <c r="G861" s="29">
        <v>237</v>
      </c>
    </row>
    <row r="862" spans="1:8">
      <c r="A862" s="27">
        <v>62</v>
      </c>
      <c r="B862" s="28" t="s">
        <v>11</v>
      </c>
      <c r="C862" s="29" t="s">
        <v>8</v>
      </c>
      <c r="D862" s="29" t="s">
        <v>9</v>
      </c>
      <c r="E862" s="28" t="s">
        <v>10</v>
      </c>
      <c r="F862" s="29">
        <v>160</v>
      </c>
      <c r="G862" s="29">
        <v>242</v>
      </c>
    </row>
    <row r="863" spans="1:8">
      <c r="A863" s="27">
        <v>65</v>
      </c>
      <c r="B863" s="28" t="s">
        <v>11</v>
      </c>
      <c r="C863" s="29" t="s">
        <v>8</v>
      </c>
      <c r="D863" s="29" t="s">
        <v>9</v>
      </c>
      <c r="E863" s="28" t="s">
        <v>10</v>
      </c>
      <c r="F863" s="29">
        <v>169</v>
      </c>
      <c r="G863" s="29">
        <v>215</v>
      </c>
    </row>
    <row r="864" spans="1:8">
      <c r="A864" s="27">
        <v>67</v>
      </c>
      <c r="B864" s="28" t="s">
        <v>11</v>
      </c>
      <c r="C864" s="29" t="s">
        <v>8</v>
      </c>
      <c r="D864" s="29" t="s">
        <v>9</v>
      </c>
      <c r="E864" s="28" t="s">
        <v>16</v>
      </c>
      <c r="F864" s="29">
        <v>178</v>
      </c>
      <c r="G864" s="29">
        <v>290</v>
      </c>
    </row>
    <row r="867" spans="1:7" ht="32">
      <c r="A867" s="1" t="s">
        <v>0</v>
      </c>
      <c r="B867" s="23" t="s">
        <v>1</v>
      </c>
      <c r="C867" s="24" t="s">
        <v>2</v>
      </c>
      <c r="D867" s="24" t="s">
        <v>3</v>
      </c>
      <c r="E867" s="25" t="s">
        <v>4</v>
      </c>
      <c r="F867" s="26" t="s">
        <v>5</v>
      </c>
      <c r="G867" s="26" t="s">
        <v>6</v>
      </c>
    </row>
    <row r="868" spans="1:7">
      <c r="A868" s="27">
        <v>1</v>
      </c>
      <c r="B868" s="28" t="s">
        <v>7</v>
      </c>
      <c r="C868" s="29" t="s">
        <v>8</v>
      </c>
      <c r="D868" s="29" t="s">
        <v>9</v>
      </c>
      <c r="E868" s="28" t="s">
        <v>10</v>
      </c>
      <c r="F868" s="29">
        <v>25</v>
      </c>
      <c r="G868" s="29">
        <v>118</v>
      </c>
    </row>
    <row r="869" spans="1:7">
      <c r="A869" s="27">
        <v>18</v>
      </c>
      <c r="B869" s="28" t="s">
        <v>11</v>
      </c>
      <c r="C869" s="29" t="s">
        <v>8</v>
      </c>
      <c r="D869" s="29" t="s">
        <v>9</v>
      </c>
      <c r="E869" s="28" t="s">
        <v>10</v>
      </c>
      <c r="F869" s="29">
        <v>79</v>
      </c>
      <c r="G869" s="29">
        <v>142</v>
      </c>
    </row>
    <row r="870" spans="1:7">
      <c r="A870" s="27">
        <v>22</v>
      </c>
      <c r="B870" s="28" t="s">
        <v>11</v>
      </c>
      <c r="C870" s="29" t="s">
        <v>8</v>
      </c>
      <c r="D870" s="29" t="s">
        <v>9</v>
      </c>
      <c r="E870" s="28" t="s">
        <v>10</v>
      </c>
      <c r="F870" s="29">
        <v>81</v>
      </c>
      <c r="G870" s="29">
        <v>190</v>
      </c>
    </row>
    <row r="871" spans="1:7">
      <c r="A871" s="27">
        <v>28</v>
      </c>
      <c r="B871" s="28" t="s">
        <v>11</v>
      </c>
      <c r="C871" s="29" t="s">
        <v>8</v>
      </c>
      <c r="D871" s="29" t="s">
        <v>9</v>
      </c>
      <c r="E871" s="28" t="s">
        <v>10</v>
      </c>
      <c r="F871" s="29">
        <v>87</v>
      </c>
      <c r="G871" s="29">
        <v>170</v>
      </c>
    </row>
    <row r="872" spans="1:7">
      <c r="A872" s="27">
        <v>29</v>
      </c>
      <c r="B872" s="28" t="s">
        <v>11</v>
      </c>
      <c r="C872" s="29" t="s">
        <v>8</v>
      </c>
      <c r="D872" s="29" t="s">
        <v>9</v>
      </c>
      <c r="E872" s="28" t="s">
        <v>10</v>
      </c>
      <c r="F872" s="29">
        <v>90</v>
      </c>
      <c r="G872" s="29">
        <v>189</v>
      </c>
    </row>
    <row r="873" spans="1:7">
      <c r="A873" s="27">
        <v>34</v>
      </c>
      <c r="B873" s="28" t="s">
        <v>11</v>
      </c>
      <c r="C873" s="29" t="s">
        <v>8</v>
      </c>
      <c r="D873" s="29" t="s">
        <v>9</v>
      </c>
      <c r="E873" s="28" t="s">
        <v>10</v>
      </c>
      <c r="F873" s="29">
        <v>102</v>
      </c>
      <c r="G873" s="29">
        <v>200</v>
      </c>
    </row>
    <row r="874" spans="1:7">
      <c r="A874" s="27">
        <v>42</v>
      </c>
      <c r="B874" s="28" t="s">
        <v>11</v>
      </c>
      <c r="C874" s="29" t="s">
        <v>8</v>
      </c>
      <c r="D874" s="29" t="s">
        <v>9</v>
      </c>
      <c r="E874" s="28" t="s">
        <v>16</v>
      </c>
      <c r="F874" s="29">
        <v>115</v>
      </c>
      <c r="G874" s="29">
        <v>285</v>
      </c>
    </row>
    <row r="875" spans="1:7">
      <c r="A875" s="27">
        <v>53</v>
      </c>
      <c r="B875" s="28" t="s">
        <v>11</v>
      </c>
      <c r="C875" s="29" t="s">
        <v>8</v>
      </c>
      <c r="D875" s="29" t="s">
        <v>9</v>
      </c>
      <c r="E875" s="28" t="s">
        <v>10</v>
      </c>
      <c r="F875" s="29">
        <v>136</v>
      </c>
      <c r="G875" s="29">
        <v>220</v>
      </c>
    </row>
    <row r="876" spans="1:7">
      <c r="A876" s="27">
        <v>56</v>
      </c>
      <c r="B876" s="28" t="s">
        <v>11</v>
      </c>
      <c r="C876" s="29" t="s">
        <v>8</v>
      </c>
      <c r="D876" s="29" t="s">
        <v>9</v>
      </c>
      <c r="E876" s="28" t="s">
        <v>10</v>
      </c>
      <c r="F876" s="29">
        <v>148</v>
      </c>
      <c r="G876" s="29">
        <v>186</v>
      </c>
    </row>
    <row r="877" spans="1:7">
      <c r="A877" s="27">
        <v>57</v>
      </c>
      <c r="B877" s="28" t="s">
        <v>11</v>
      </c>
      <c r="C877" s="29" t="s">
        <v>8</v>
      </c>
      <c r="D877" s="29" t="s">
        <v>9</v>
      </c>
      <c r="E877" s="28" t="s">
        <v>10</v>
      </c>
      <c r="F877" s="29">
        <v>152</v>
      </c>
      <c r="G877" s="29">
        <v>237</v>
      </c>
    </row>
    <row r="878" spans="1:7">
      <c r="A878" s="27">
        <v>62</v>
      </c>
      <c r="B878" s="28" t="s">
        <v>11</v>
      </c>
      <c r="C878" s="29" t="s">
        <v>8</v>
      </c>
      <c r="D878" s="29" t="s">
        <v>9</v>
      </c>
      <c r="E878" s="28" t="s">
        <v>10</v>
      </c>
      <c r="F878" s="29">
        <v>160</v>
      </c>
      <c r="G878" s="29">
        <v>242</v>
      </c>
    </row>
    <row r="879" spans="1:7">
      <c r="A879" s="27">
        <v>65</v>
      </c>
      <c r="B879" s="28" t="s">
        <v>11</v>
      </c>
      <c r="C879" s="29" t="s">
        <v>8</v>
      </c>
      <c r="D879" s="29" t="s">
        <v>9</v>
      </c>
      <c r="E879" s="28" t="s">
        <v>10</v>
      </c>
      <c r="F879" s="29">
        <v>169</v>
      </c>
      <c r="G879" s="29">
        <v>215</v>
      </c>
    </row>
    <row r="880" spans="1:7">
      <c r="A880" s="27">
        <v>67</v>
      </c>
      <c r="B880" s="28" t="s">
        <v>11</v>
      </c>
      <c r="C880" s="29" t="s">
        <v>8</v>
      </c>
      <c r="D880" s="29" t="s">
        <v>9</v>
      </c>
      <c r="E880" s="28" t="s">
        <v>16</v>
      </c>
      <c r="F880" s="29">
        <v>178</v>
      </c>
      <c r="G880" s="29">
        <v>290</v>
      </c>
    </row>
    <row r="882" spans="1:8">
      <c r="A882" t="s">
        <v>28</v>
      </c>
    </row>
    <row r="883" spans="1:8" ht="20">
      <c r="A883" s="13" t="s">
        <v>29</v>
      </c>
    </row>
    <row r="884" spans="1:8" ht="17">
      <c r="A884" s="14" t="s">
        <v>30</v>
      </c>
      <c r="B884" s="14" t="s">
        <v>6</v>
      </c>
      <c r="C884" s="14"/>
      <c r="D884" s="14"/>
      <c r="E884" s="14"/>
      <c r="F884" s="14"/>
    </row>
    <row r="885" spans="1:8" ht="17">
      <c r="A885" s="14">
        <v>7</v>
      </c>
      <c r="B885" s="14">
        <v>285</v>
      </c>
      <c r="C885" s="14"/>
      <c r="D885" s="14"/>
      <c r="E885" s="14"/>
      <c r="F885" s="14"/>
    </row>
    <row r="886" spans="1:8" ht="17">
      <c r="A886" s="16"/>
    </row>
    <row r="889" spans="1:8" ht="32">
      <c r="A889" s="1" t="s">
        <v>0</v>
      </c>
      <c r="B889" s="23" t="s">
        <v>1</v>
      </c>
      <c r="C889" s="24" t="s">
        <v>2</v>
      </c>
      <c r="D889" s="24" t="s">
        <v>3</v>
      </c>
      <c r="E889" s="25" t="s">
        <v>4</v>
      </c>
      <c r="F889" s="26" t="s">
        <v>5</v>
      </c>
      <c r="G889" s="26" t="s">
        <v>6</v>
      </c>
    </row>
    <row r="890" spans="1:8">
      <c r="A890" s="27">
        <v>1</v>
      </c>
      <c r="B890" s="28" t="s">
        <v>7</v>
      </c>
      <c r="C890" s="29" t="s">
        <v>8</v>
      </c>
      <c r="D890" s="29" t="s">
        <v>9</v>
      </c>
      <c r="E890" s="28" t="s">
        <v>10</v>
      </c>
      <c r="F890" s="29">
        <v>25</v>
      </c>
      <c r="G890" s="29">
        <v>118</v>
      </c>
    </row>
    <row r="891" spans="1:8">
      <c r="A891" s="27">
        <v>18</v>
      </c>
      <c r="B891" s="28" t="s">
        <v>11</v>
      </c>
      <c r="C891" s="29" t="s">
        <v>8</v>
      </c>
      <c r="D891" s="29" t="s">
        <v>9</v>
      </c>
      <c r="E891" s="28" t="s">
        <v>10</v>
      </c>
      <c r="F891" s="29">
        <v>79</v>
      </c>
      <c r="G891" s="29">
        <v>142</v>
      </c>
    </row>
    <row r="892" spans="1:8">
      <c r="A892" s="27">
        <v>22</v>
      </c>
      <c r="B892" s="28" t="s">
        <v>11</v>
      </c>
      <c r="C892" s="29" t="s">
        <v>8</v>
      </c>
      <c r="D892" s="29" t="s">
        <v>9</v>
      </c>
      <c r="E892" s="28" t="s">
        <v>10</v>
      </c>
      <c r="F892" s="29">
        <v>81</v>
      </c>
      <c r="G892" s="29">
        <v>190</v>
      </c>
    </row>
    <row r="893" spans="1:8">
      <c r="A893" s="27">
        <v>28</v>
      </c>
      <c r="B893" s="28" t="s">
        <v>11</v>
      </c>
      <c r="C893" s="29" t="s">
        <v>8</v>
      </c>
      <c r="D893" s="29" t="s">
        <v>9</v>
      </c>
      <c r="E893" s="28" t="s">
        <v>10</v>
      </c>
      <c r="F893" s="29">
        <v>87</v>
      </c>
      <c r="G893" s="29">
        <v>170</v>
      </c>
    </row>
    <row r="894" spans="1:8">
      <c r="A894" s="27">
        <v>29</v>
      </c>
      <c r="B894" s="28" t="s">
        <v>11</v>
      </c>
      <c r="C894" s="29" t="s">
        <v>8</v>
      </c>
      <c r="D894" s="29" t="s">
        <v>9</v>
      </c>
      <c r="E894" s="28" t="s">
        <v>10</v>
      </c>
      <c r="F894" s="29">
        <v>90</v>
      </c>
      <c r="G894" s="29">
        <v>189</v>
      </c>
    </row>
    <row r="895" spans="1:8">
      <c r="A895" s="27">
        <v>34</v>
      </c>
      <c r="B895" s="28" t="s">
        <v>11</v>
      </c>
      <c r="C895" s="29" t="s">
        <v>8</v>
      </c>
      <c r="D895" s="29" t="s">
        <v>9</v>
      </c>
      <c r="E895" s="28" t="s">
        <v>10</v>
      </c>
      <c r="F895" s="29">
        <v>102</v>
      </c>
      <c r="G895" s="29">
        <v>200</v>
      </c>
    </row>
    <row r="896" spans="1:8">
      <c r="A896" s="27">
        <v>42</v>
      </c>
      <c r="B896" s="28" t="s">
        <v>11</v>
      </c>
      <c r="C896" s="29" t="s">
        <v>8</v>
      </c>
      <c r="D896" s="29" t="s">
        <v>9</v>
      </c>
      <c r="E896" s="28" t="s">
        <v>16</v>
      </c>
      <c r="F896" s="29">
        <v>115</v>
      </c>
      <c r="G896" s="29">
        <v>285</v>
      </c>
      <c r="H896" s="31" t="s">
        <v>31</v>
      </c>
    </row>
    <row r="897" spans="1:7">
      <c r="A897" s="27">
        <v>53</v>
      </c>
      <c r="B897" s="28" t="s">
        <v>11</v>
      </c>
      <c r="C897" s="29" t="s">
        <v>8</v>
      </c>
      <c r="D897" s="29" t="s">
        <v>9</v>
      </c>
      <c r="E897" s="28" t="s">
        <v>10</v>
      </c>
      <c r="F897" s="29">
        <v>136</v>
      </c>
      <c r="G897" s="29">
        <v>220</v>
      </c>
    </row>
    <row r="898" spans="1:7">
      <c r="A898" s="27">
        <v>56</v>
      </c>
      <c r="B898" s="28" t="s">
        <v>11</v>
      </c>
      <c r="C898" s="29" t="s">
        <v>8</v>
      </c>
      <c r="D898" s="29" t="s">
        <v>9</v>
      </c>
      <c r="E898" s="28" t="s">
        <v>10</v>
      </c>
      <c r="F898" s="29">
        <v>148</v>
      </c>
      <c r="G898" s="29">
        <v>186</v>
      </c>
    </row>
    <row r="899" spans="1:7">
      <c r="A899" s="27">
        <v>57</v>
      </c>
      <c r="B899" s="28" t="s">
        <v>11</v>
      </c>
      <c r="C899" s="29" t="s">
        <v>8</v>
      </c>
      <c r="D899" s="29" t="s">
        <v>9</v>
      </c>
      <c r="E899" s="28" t="s">
        <v>10</v>
      </c>
      <c r="F899" s="29">
        <v>152</v>
      </c>
      <c r="G899" s="29">
        <v>237</v>
      </c>
    </row>
    <row r="900" spans="1:7">
      <c r="A900" s="27">
        <v>62</v>
      </c>
      <c r="B900" s="28" t="s">
        <v>11</v>
      </c>
      <c r="C900" s="29" t="s">
        <v>8</v>
      </c>
      <c r="D900" s="29" t="s">
        <v>9</v>
      </c>
      <c r="E900" s="28" t="s">
        <v>10</v>
      </c>
      <c r="F900" s="29">
        <v>160</v>
      </c>
      <c r="G900" s="29">
        <v>242</v>
      </c>
    </row>
    <row r="901" spans="1:7">
      <c r="A901" s="27">
        <v>65</v>
      </c>
      <c r="B901" s="28" t="s">
        <v>11</v>
      </c>
      <c r="C901" s="29" t="s">
        <v>8</v>
      </c>
      <c r="D901" s="29" t="s">
        <v>9</v>
      </c>
      <c r="E901" s="28" t="s">
        <v>10</v>
      </c>
      <c r="F901" s="29">
        <v>169</v>
      </c>
      <c r="G901" s="29">
        <v>215</v>
      </c>
    </row>
    <row r="902" spans="1:7">
      <c r="A902" s="27">
        <v>67</v>
      </c>
      <c r="B902" s="28" t="s">
        <v>11</v>
      </c>
      <c r="C902" s="29" t="s">
        <v>8</v>
      </c>
      <c r="D902" s="29" t="s">
        <v>9</v>
      </c>
      <c r="E902" s="28" t="s">
        <v>16</v>
      </c>
      <c r="F902" s="29">
        <v>178</v>
      </c>
      <c r="G902" s="29">
        <v>290</v>
      </c>
    </row>
    <row r="905" spans="1:7" ht="32">
      <c r="A905" s="1" t="s">
        <v>0</v>
      </c>
      <c r="B905" s="23" t="s">
        <v>1</v>
      </c>
      <c r="C905" s="24" t="s">
        <v>2</v>
      </c>
      <c r="D905" s="24" t="s">
        <v>3</v>
      </c>
      <c r="E905" s="25" t="s">
        <v>4</v>
      </c>
      <c r="F905" s="26" t="s">
        <v>5</v>
      </c>
      <c r="G905" s="26" t="s">
        <v>6</v>
      </c>
    </row>
    <row r="906" spans="1:7">
      <c r="A906" s="27">
        <v>1</v>
      </c>
      <c r="B906" s="28" t="s">
        <v>7</v>
      </c>
      <c r="C906" s="29" t="s">
        <v>8</v>
      </c>
      <c r="D906" s="29" t="s">
        <v>9</v>
      </c>
      <c r="E906" s="28" t="s">
        <v>10</v>
      </c>
      <c r="F906" s="29">
        <v>25</v>
      </c>
      <c r="G906" s="29">
        <v>118</v>
      </c>
    </row>
    <row r="907" spans="1:7">
      <c r="A907" s="27">
        <v>18</v>
      </c>
      <c r="B907" s="28" t="s">
        <v>11</v>
      </c>
      <c r="C907" s="29" t="s">
        <v>8</v>
      </c>
      <c r="D907" s="29" t="s">
        <v>9</v>
      </c>
      <c r="E907" s="28" t="s">
        <v>10</v>
      </c>
      <c r="F907" s="29">
        <v>79</v>
      </c>
      <c r="G907" s="29">
        <v>142</v>
      </c>
    </row>
    <row r="908" spans="1:7">
      <c r="A908" s="27">
        <v>22</v>
      </c>
      <c r="B908" s="28" t="s">
        <v>11</v>
      </c>
      <c r="C908" s="29" t="s">
        <v>8</v>
      </c>
      <c r="D908" s="29" t="s">
        <v>9</v>
      </c>
      <c r="E908" s="28" t="s">
        <v>10</v>
      </c>
      <c r="F908" s="29">
        <v>81</v>
      </c>
      <c r="G908" s="29">
        <v>190</v>
      </c>
    </row>
    <row r="909" spans="1:7">
      <c r="A909" s="27">
        <v>28</v>
      </c>
      <c r="B909" s="28" t="s">
        <v>11</v>
      </c>
      <c r="C909" s="29" t="s">
        <v>8</v>
      </c>
      <c r="D909" s="29" t="s">
        <v>9</v>
      </c>
      <c r="E909" s="28" t="s">
        <v>10</v>
      </c>
      <c r="F909" s="29">
        <v>87</v>
      </c>
      <c r="G909" s="29">
        <v>170</v>
      </c>
    </row>
    <row r="910" spans="1:7">
      <c r="A910" s="27">
        <v>29</v>
      </c>
      <c r="B910" s="28" t="s">
        <v>11</v>
      </c>
      <c r="C910" s="29" t="s">
        <v>8</v>
      </c>
      <c r="D910" s="29" t="s">
        <v>9</v>
      </c>
      <c r="E910" s="28" t="s">
        <v>10</v>
      </c>
      <c r="F910" s="29">
        <v>90</v>
      </c>
      <c r="G910" s="29">
        <v>189</v>
      </c>
    </row>
    <row r="911" spans="1:7">
      <c r="A911" s="27">
        <v>34</v>
      </c>
      <c r="B911" s="28" t="s">
        <v>11</v>
      </c>
      <c r="C911" s="29" t="s">
        <v>8</v>
      </c>
      <c r="D911" s="29" t="s">
        <v>9</v>
      </c>
      <c r="E911" s="28" t="s">
        <v>10</v>
      </c>
      <c r="F911" s="29">
        <v>102</v>
      </c>
      <c r="G911" s="29">
        <v>200</v>
      </c>
    </row>
    <row r="912" spans="1:7">
      <c r="A912" s="27">
        <v>53</v>
      </c>
      <c r="B912" s="28" t="s">
        <v>11</v>
      </c>
      <c r="C912" s="29" t="s">
        <v>8</v>
      </c>
      <c r="D912" s="29" t="s">
        <v>9</v>
      </c>
      <c r="E912" s="28" t="s">
        <v>10</v>
      </c>
      <c r="F912" s="29">
        <v>136</v>
      </c>
      <c r="G912" s="29">
        <v>220</v>
      </c>
    </row>
    <row r="913" spans="1:7">
      <c r="A913" s="27">
        <v>56</v>
      </c>
      <c r="B913" s="28" t="s">
        <v>11</v>
      </c>
      <c r="C913" s="29" t="s">
        <v>8</v>
      </c>
      <c r="D913" s="29" t="s">
        <v>9</v>
      </c>
      <c r="E913" s="28" t="s">
        <v>10</v>
      </c>
      <c r="F913" s="29">
        <v>148</v>
      </c>
      <c r="G913" s="29">
        <v>186</v>
      </c>
    </row>
    <row r="914" spans="1:7">
      <c r="A914" s="27">
        <v>57</v>
      </c>
      <c r="B914" s="28" t="s">
        <v>11</v>
      </c>
      <c r="C914" s="29" t="s">
        <v>8</v>
      </c>
      <c r="D914" s="29" t="s">
        <v>9</v>
      </c>
      <c r="E914" s="28" t="s">
        <v>10</v>
      </c>
      <c r="F914" s="29">
        <v>152</v>
      </c>
      <c r="G914" s="29">
        <v>237</v>
      </c>
    </row>
    <row r="915" spans="1:7">
      <c r="A915" s="27">
        <v>62</v>
      </c>
      <c r="B915" s="28" t="s">
        <v>11</v>
      </c>
      <c r="C915" s="29" t="s">
        <v>8</v>
      </c>
      <c r="D915" s="29" t="s">
        <v>9</v>
      </c>
      <c r="E915" s="28" t="s">
        <v>10</v>
      </c>
      <c r="F915" s="29">
        <v>160</v>
      </c>
      <c r="G915" s="29">
        <v>242</v>
      </c>
    </row>
    <row r="916" spans="1:7">
      <c r="A916" s="27">
        <v>65</v>
      </c>
      <c r="B916" s="28" t="s">
        <v>11</v>
      </c>
      <c r="C916" s="29" t="s">
        <v>8</v>
      </c>
      <c r="D916" s="29" t="s">
        <v>9</v>
      </c>
      <c r="E916" s="28" t="s">
        <v>10</v>
      </c>
      <c r="F916" s="29">
        <v>169</v>
      </c>
      <c r="G916" s="29">
        <v>215</v>
      </c>
    </row>
    <row r="917" spans="1:7">
      <c r="A917" s="27">
        <v>67</v>
      </c>
      <c r="B917" s="28" t="s">
        <v>11</v>
      </c>
      <c r="C917" s="29" t="s">
        <v>8</v>
      </c>
      <c r="D917" s="29" t="s">
        <v>9</v>
      </c>
      <c r="E917" s="28" t="s">
        <v>16</v>
      </c>
      <c r="F917" s="29">
        <v>178</v>
      </c>
      <c r="G917" s="29">
        <v>290</v>
      </c>
    </row>
    <row r="919" spans="1:7">
      <c r="A919" t="s">
        <v>28</v>
      </c>
    </row>
    <row r="920" spans="1:7">
      <c r="A920" t="s">
        <v>31</v>
      </c>
      <c r="B920" t="s">
        <v>32</v>
      </c>
    </row>
    <row r="922" spans="1:7" ht="20">
      <c r="A922" s="10" t="s">
        <v>33</v>
      </c>
      <c r="D922" s="33" t="s">
        <v>33</v>
      </c>
    </row>
    <row r="923" spans="1:7" ht="20">
      <c r="A923" s="33">
        <v>12</v>
      </c>
      <c r="D923" s="10">
        <v>12</v>
      </c>
    </row>
    <row r="924" spans="1:7" ht="20">
      <c r="A924" s="10" t="s">
        <v>45</v>
      </c>
      <c r="D924" s="10" t="s">
        <v>45</v>
      </c>
    </row>
    <row r="925" spans="1:7" ht="20">
      <c r="A925" s="10">
        <v>1</v>
      </c>
      <c r="D925" s="10">
        <v>1</v>
      </c>
    </row>
    <row r="926" spans="1:7" ht="20">
      <c r="A926" s="10" t="s">
        <v>34</v>
      </c>
      <c r="D926" s="10" t="s">
        <v>34</v>
      </c>
    </row>
    <row r="927" spans="1:7" ht="20">
      <c r="A927" s="10" t="s">
        <v>0</v>
      </c>
      <c r="D927" s="10" t="s">
        <v>0</v>
      </c>
    </row>
    <row r="928" spans="1:7" ht="20">
      <c r="A928" s="10"/>
      <c r="D928" s="10"/>
    </row>
    <row r="929" spans="1:4" ht="20">
      <c r="A929" s="10"/>
      <c r="D929" s="10"/>
    </row>
    <row r="930" spans="1:4">
      <c r="A930" t="s">
        <v>50</v>
      </c>
    </row>
    <row r="945" spans="1:11" ht="20">
      <c r="A945" s="13" t="s">
        <v>36</v>
      </c>
    </row>
    <row r="946" spans="1:11" ht="17">
      <c r="A946" s="14" t="s">
        <v>37</v>
      </c>
      <c r="B946" s="14"/>
    </row>
    <row r="947" spans="1:11" ht="17">
      <c r="A947" s="15">
        <v>0.74219999999999997</v>
      </c>
      <c r="B947" s="15"/>
    </row>
    <row r="949" spans="1:11" ht="20">
      <c r="A949" s="13" t="s">
        <v>38</v>
      </c>
    </row>
    <row r="950" spans="1:11" ht="17">
      <c r="A950" s="14" t="s">
        <v>51</v>
      </c>
    </row>
    <row r="953" spans="1:11">
      <c r="A953" t="s">
        <v>40</v>
      </c>
    </row>
    <row r="954" spans="1:11" ht="32">
      <c r="A954" s="1" t="s">
        <v>0</v>
      </c>
      <c r="B954" s="23" t="s">
        <v>1</v>
      </c>
      <c r="C954" s="24" t="s">
        <v>2</v>
      </c>
      <c r="D954" s="24" t="s">
        <v>3</v>
      </c>
      <c r="E954" s="25" t="s">
        <v>4</v>
      </c>
      <c r="F954" s="26" t="s">
        <v>5</v>
      </c>
      <c r="G954" s="26" t="s">
        <v>6</v>
      </c>
      <c r="H954" s="2" t="s">
        <v>41</v>
      </c>
      <c r="I954" s="2" t="s">
        <v>42</v>
      </c>
      <c r="J954" s="2" t="s">
        <v>43</v>
      </c>
      <c r="K954" s="2" t="s">
        <v>40</v>
      </c>
    </row>
    <row r="955" spans="1:11">
      <c r="A955" s="27">
        <v>1</v>
      </c>
      <c r="B955" s="28" t="s">
        <v>7</v>
      </c>
      <c r="C955" s="29" t="s">
        <v>8</v>
      </c>
      <c r="D955" s="29" t="s">
        <v>9</v>
      </c>
      <c r="E955" s="28" t="s">
        <v>10</v>
      </c>
      <c r="F955" s="29">
        <v>25</v>
      </c>
      <c r="G955" s="29">
        <v>118</v>
      </c>
      <c r="H955" s="17">
        <f>98.65+0.8636*F955</f>
        <v>120.24000000000001</v>
      </c>
      <c r="I955" s="18">
        <f>(H955-G955)/G955</f>
        <v>1.8983050847457703E-2</v>
      </c>
      <c r="J955" s="18">
        <f>ABS(I955)</f>
        <v>1.8983050847457703E-2</v>
      </c>
      <c r="K955" s="18">
        <f>AVERAGE(J955:J966)</f>
        <v>8.4675804395190138E-2</v>
      </c>
    </row>
    <row r="956" spans="1:11">
      <c r="A956" s="27">
        <v>18</v>
      </c>
      <c r="B956" s="28" t="s">
        <v>11</v>
      </c>
      <c r="C956" s="29" t="s">
        <v>8</v>
      </c>
      <c r="D956" s="29" t="s">
        <v>9</v>
      </c>
      <c r="E956" s="28" t="s">
        <v>10</v>
      </c>
      <c r="F956" s="29">
        <v>79</v>
      </c>
      <c r="G956" s="29">
        <v>142</v>
      </c>
      <c r="H956" s="17">
        <f t="shared" ref="H956:H966" si="0">98.65+0.8636*F956</f>
        <v>166.87440000000001</v>
      </c>
      <c r="I956" s="18">
        <f t="shared" ref="I956:I960" si="1">(H956-G956)/G956</f>
        <v>0.17517183098591554</v>
      </c>
      <c r="J956" s="18">
        <f t="shared" ref="J956:J960" si="2">ABS(I956)</f>
        <v>0.17517183098591554</v>
      </c>
      <c r="K956" s="11"/>
    </row>
    <row r="957" spans="1:11">
      <c r="A957" s="27">
        <v>22</v>
      </c>
      <c r="B957" s="28" t="s">
        <v>11</v>
      </c>
      <c r="C957" s="29" t="s">
        <v>8</v>
      </c>
      <c r="D957" s="29" t="s">
        <v>9</v>
      </c>
      <c r="E957" s="28" t="s">
        <v>10</v>
      </c>
      <c r="F957" s="29">
        <v>81</v>
      </c>
      <c r="G957" s="29">
        <v>190</v>
      </c>
      <c r="H957" s="17">
        <f t="shared" si="0"/>
        <v>168.60160000000002</v>
      </c>
      <c r="I957" s="18">
        <f t="shared" si="1"/>
        <v>-0.11262315789473674</v>
      </c>
      <c r="J957" s="18">
        <f t="shared" si="2"/>
        <v>0.11262315789473674</v>
      </c>
      <c r="K957" s="11"/>
    </row>
    <row r="958" spans="1:11">
      <c r="A958" s="27">
        <v>28</v>
      </c>
      <c r="B958" s="28" t="s">
        <v>11</v>
      </c>
      <c r="C958" s="29" t="s">
        <v>8</v>
      </c>
      <c r="D958" s="29" t="s">
        <v>9</v>
      </c>
      <c r="E958" s="28" t="s">
        <v>10</v>
      </c>
      <c r="F958" s="29">
        <v>87</v>
      </c>
      <c r="G958" s="29">
        <v>170</v>
      </c>
      <c r="H958" s="17">
        <f t="shared" si="0"/>
        <v>173.78320000000002</v>
      </c>
      <c r="I958" s="18">
        <f t="shared" si="1"/>
        <v>2.2254117647058952E-2</v>
      </c>
      <c r="J958" s="18">
        <f t="shared" si="2"/>
        <v>2.2254117647058952E-2</v>
      </c>
      <c r="K958" s="11"/>
    </row>
    <row r="959" spans="1:11">
      <c r="A959" s="27">
        <v>29</v>
      </c>
      <c r="B959" s="28" t="s">
        <v>11</v>
      </c>
      <c r="C959" s="29" t="s">
        <v>8</v>
      </c>
      <c r="D959" s="29" t="s">
        <v>9</v>
      </c>
      <c r="E959" s="28" t="s">
        <v>10</v>
      </c>
      <c r="F959" s="29">
        <v>90</v>
      </c>
      <c r="G959" s="29">
        <v>189</v>
      </c>
      <c r="H959" s="17">
        <f t="shared" si="0"/>
        <v>176.37400000000002</v>
      </c>
      <c r="I959" s="18">
        <f t="shared" si="1"/>
        <v>-6.6804232804232686E-2</v>
      </c>
      <c r="J959" s="18">
        <f t="shared" si="2"/>
        <v>6.6804232804232686E-2</v>
      </c>
      <c r="K959" s="11"/>
    </row>
    <row r="960" spans="1:11">
      <c r="A960" s="27">
        <v>34</v>
      </c>
      <c r="B960" s="28" t="s">
        <v>11</v>
      </c>
      <c r="C960" s="29" t="s">
        <v>8</v>
      </c>
      <c r="D960" s="29" t="s">
        <v>9</v>
      </c>
      <c r="E960" s="28" t="s">
        <v>10</v>
      </c>
      <c r="F960" s="29">
        <v>102</v>
      </c>
      <c r="G960" s="29">
        <v>200</v>
      </c>
      <c r="H960" s="17">
        <f t="shared" si="0"/>
        <v>186.73720000000003</v>
      </c>
      <c r="I960" s="18">
        <f t="shared" si="1"/>
        <v>-6.6313999999999845E-2</v>
      </c>
      <c r="J960" s="18">
        <f t="shared" si="2"/>
        <v>6.6313999999999845E-2</v>
      </c>
      <c r="K960" s="11"/>
    </row>
    <row r="961" spans="1:11">
      <c r="A961" s="27">
        <v>53</v>
      </c>
      <c r="B961" s="28" t="s">
        <v>11</v>
      </c>
      <c r="C961" s="29" t="s">
        <v>8</v>
      </c>
      <c r="D961" s="29" t="s">
        <v>9</v>
      </c>
      <c r="E961" s="28" t="s">
        <v>10</v>
      </c>
      <c r="F961" s="29">
        <v>136</v>
      </c>
      <c r="G961" s="29">
        <v>220</v>
      </c>
      <c r="H961" s="17">
        <f t="shared" si="0"/>
        <v>216.09960000000001</v>
      </c>
      <c r="I961" s="18">
        <f t="shared" ref="I961:I966" si="3">(H961-G961)/G961</f>
        <v>-1.7729090909090865E-2</v>
      </c>
      <c r="J961" s="18">
        <f t="shared" ref="J961:J966" si="4">ABS(I961)</f>
        <v>1.7729090909090865E-2</v>
      </c>
      <c r="K961" s="11"/>
    </row>
    <row r="962" spans="1:11">
      <c r="A962" s="27">
        <v>56</v>
      </c>
      <c r="B962" s="28" t="s">
        <v>11</v>
      </c>
      <c r="C962" s="29" t="s">
        <v>8</v>
      </c>
      <c r="D962" s="29" t="s">
        <v>9</v>
      </c>
      <c r="E962" s="28" t="s">
        <v>10</v>
      </c>
      <c r="F962" s="29">
        <v>148</v>
      </c>
      <c r="G962" s="29">
        <v>186</v>
      </c>
      <c r="H962" s="17">
        <f t="shared" si="0"/>
        <v>226.46280000000002</v>
      </c>
      <c r="I962" s="18">
        <f t="shared" si="3"/>
        <v>0.21754193548387105</v>
      </c>
      <c r="J962" s="18">
        <f t="shared" si="4"/>
        <v>0.21754193548387105</v>
      </c>
      <c r="K962" s="11"/>
    </row>
    <row r="963" spans="1:11">
      <c r="A963" s="27">
        <v>57</v>
      </c>
      <c r="B963" s="28" t="s">
        <v>11</v>
      </c>
      <c r="C963" s="29" t="s">
        <v>8</v>
      </c>
      <c r="D963" s="29" t="s">
        <v>9</v>
      </c>
      <c r="E963" s="28" t="s">
        <v>10</v>
      </c>
      <c r="F963" s="29">
        <v>152</v>
      </c>
      <c r="G963" s="29">
        <v>237</v>
      </c>
      <c r="H963" s="17">
        <f t="shared" si="0"/>
        <v>229.91720000000001</v>
      </c>
      <c r="I963" s="18">
        <f t="shared" si="3"/>
        <v>-2.9885232067510512E-2</v>
      </c>
      <c r="J963" s="18">
        <f t="shared" si="4"/>
        <v>2.9885232067510512E-2</v>
      </c>
      <c r="K963" s="11"/>
    </row>
    <row r="964" spans="1:11">
      <c r="A964" s="27">
        <v>62</v>
      </c>
      <c r="B964" s="28" t="s">
        <v>11</v>
      </c>
      <c r="C964" s="29" t="s">
        <v>8</v>
      </c>
      <c r="D964" s="29" t="s">
        <v>9</v>
      </c>
      <c r="E964" s="28" t="s">
        <v>10</v>
      </c>
      <c r="F964" s="29">
        <v>160</v>
      </c>
      <c r="G964" s="29">
        <v>242</v>
      </c>
      <c r="H964" s="17">
        <f t="shared" si="0"/>
        <v>236.82600000000002</v>
      </c>
      <c r="I964" s="18">
        <f t="shared" si="3"/>
        <v>-2.1380165289256108E-2</v>
      </c>
      <c r="J964" s="18">
        <f t="shared" si="4"/>
        <v>2.1380165289256108E-2</v>
      </c>
      <c r="K964" s="11"/>
    </row>
    <row r="965" spans="1:11">
      <c r="A965" s="27">
        <v>65</v>
      </c>
      <c r="B965" s="28" t="s">
        <v>11</v>
      </c>
      <c r="C965" s="29" t="s">
        <v>8</v>
      </c>
      <c r="D965" s="29" t="s">
        <v>9</v>
      </c>
      <c r="E965" s="28" t="s">
        <v>10</v>
      </c>
      <c r="F965" s="29">
        <v>169</v>
      </c>
      <c r="G965" s="29">
        <v>215</v>
      </c>
      <c r="H965" s="17">
        <f t="shared" si="0"/>
        <v>244.5984</v>
      </c>
      <c r="I965" s="18">
        <f t="shared" si="3"/>
        <v>0.13766697674418604</v>
      </c>
      <c r="J965" s="18">
        <f t="shared" si="4"/>
        <v>0.13766697674418604</v>
      </c>
      <c r="K965" s="11"/>
    </row>
    <row r="966" spans="1:11">
      <c r="A966" s="27">
        <v>67</v>
      </c>
      <c r="B966" s="28" t="s">
        <v>11</v>
      </c>
      <c r="C966" s="29" t="s">
        <v>8</v>
      </c>
      <c r="D966" s="29" t="s">
        <v>9</v>
      </c>
      <c r="E966" s="28" t="s">
        <v>16</v>
      </c>
      <c r="F966" s="29">
        <v>178</v>
      </c>
      <c r="G966" s="29">
        <v>290</v>
      </c>
      <c r="H966" s="17">
        <f t="shared" si="0"/>
        <v>252.3708</v>
      </c>
      <c r="I966" s="18">
        <f t="shared" si="3"/>
        <v>-0.1297558620689655</v>
      </c>
      <c r="J966" s="18">
        <f t="shared" si="4"/>
        <v>0.1297558620689655</v>
      </c>
      <c r="K966" s="11"/>
    </row>
    <row r="970" spans="1:11" s="38" customFormat="1"/>
    <row r="971" spans="1:11" s="38" customFormat="1"/>
    <row r="972" spans="1:11" s="38" customFormat="1"/>
    <row r="973" spans="1:11" s="38" customFormat="1"/>
    <row r="974" spans="1:11" s="38" customFormat="1"/>
    <row r="975" spans="1:11" s="38" customFormat="1"/>
    <row r="976" spans="1:11" s="38" customFormat="1"/>
    <row r="977" spans="2:5" s="38" customFormat="1"/>
    <row r="978" spans="2:5" s="38" customFormat="1"/>
    <row r="979" spans="2:5" s="38" customFormat="1"/>
    <row r="980" spans="2:5" s="38" customFormat="1">
      <c r="B980" s="39"/>
    </row>
    <row r="981" spans="2:5" s="38" customFormat="1"/>
    <row r="982" spans="2:5" s="38" customFormat="1"/>
    <row r="983" spans="2:5" s="38" customFormat="1"/>
    <row r="984" spans="2:5" s="38" customFormat="1"/>
    <row r="985" spans="2:5" s="38" customFormat="1">
      <c r="B985" s="39"/>
      <c r="E985" s="40"/>
    </row>
    <row r="986" spans="2:5" s="38" customFormat="1"/>
    <row r="987" spans="2:5" s="38" customFormat="1"/>
    <row r="988" spans="2:5" s="38" customFormat="1"/>
    <row r="989" spans="2:5" s="38" customFormat="1"/>
    <row r="990" spans="2:5" s="38" customFormat="1">
      <c r="B990" s="39"/>
    </row>
    <row r="991" spans="2:5" s="38" customFormat="1"/>
    <row r="992" spans="2:5" s="38" customFormat="1"/>
    <row r="993" s="38" customFormat="1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8B7B-95CA-F946-8320-DDA1F227733F}">
  <dimension ref="A2:L615"/>
  <sheetViews>
    <sheetView topLeftCell="A556" workbookViewId="0">
      <selection activeCell="A592" sqref="A592:XFD615"/>
    </sheetView>
  </sheetViews>
  <sheetFormatPr baseColWidth="10" defaultColWidth="10.6640625" defaultRowHeight="16"/>
  <sheetData>
    <row r="2" spans="1:12">
      <c r="A2" t="s">
        <v>58</v>
      </c>
      <c r="L2" t="s">
        <v>57</v>
      </c>
    </row>
    <row r="21" spans="1:7" ht="32">
      <c r="A21" s="1" t="s">
        <v>0</v>
      </c>
      <c r="B21" s="8" t="s">
        <v>1</v>
      </c>
      <c r="C21" s="7" t="s">
        <v>2</v>
      </c>
      <c r="D21" s="7" t="s">
        <v>3</v>
      </c>
      <c r="E21" s="9" t="s">
        <v>4</v>
      </c>
      <c r="F21" s="2" t="s">
        <v>5</v>
      </c>
      <c r="G21" s="2" t="s">
        <v>6</v>
      </c>
    </row>
    <row r="22" spans="1:7">
      <c r="A22" s="4">
        <v>3</v>
      </c>
      <c r="B22" s="4" t="s">
        <v>13</v>
      </c>
      <c r="C22" s="6" t="s">
        <v>8</v>
      </c>
      <c r="D22" s="6" t="s">
        <v>14</v>
      </c>
      <c r="E22" s="4" t="s">
        <v>10</v>
      </c>
      <c r="F22" s="6">
        <v>43</v>
      </c>
      <c r="G22" s="6">
        <v>150</v>
      </c>
    </row>
    <row r="23" spans="1:7">
      <c r="A23" s="4">
        <v>7</v>
      </c>
      <c r="B23" s="4" t="s">
        <v>7</v>
      </c>
      <c r="C23" s="4" t="s">
        <v>15</v>
      </c>
      <c r="D23" s="4" t="s">
        <v>12</v>
      </c>
      <c r="E23" s="4" t="s">
        <v>16</v>
      </c>
      <c r="F23" s="4">
        <v>52</v>
      </c>
      <c r="G23" s="5">
        <v>274.09199999999998</v>
      </c>
    </row>
    <row r="24" spans="1:7">
      <c r="A24" s="4">
        <v>8</v>
      </c>
      <c r="B24" s="4" t="s">
        <v>7</v>
      </c>
      <c r="C24" s="4" t="s">
        <v>15</v>
      </c>
      <c r="D24" s="4" t="s">
        <v>12</v>
      </c>
      <c r="E24" s="4" t="s">
        <v>16</v>
      </c>
      <c r="F24" s="4">
        <v>61</v>
      </c>
      <c r="G24" s="5">
        <v>336.84199999999998</v>
      </c>
    </row>
    <row r="25" spans="1:7">
      <c r="A25" s="4">
        <v>10</v>
      </c>
      <c r="B25" s="4" t="s">
        <v>7</v>
      </c>
      <c r="C25" s="4" t="s">
        <v>15</v>
      </c>
      <c r="D25" s="4" t="s">
        <v>12</v>
      </c>
      <c r="E25" s="4" t="s">
        <v>16</v>
      </c>
      <c r="F25" s="4">
        <v>68</v>
      </c>
      <c r="G25" s="5">
        <v>512.04</v>
      </c>
    </row>
    <row r="26" spans="1:7">
      <c r="A26" s="4">
        <v>12</v>
      </c>
      <c r="B26" s="4" t="s">
        <v>7</v>
      </c>
      <c r="C26" s="4" t="s">
        <v>15</v>
      </c>
      <c r="D26" s="4" t="s">
        <v>12</v>
      </c>
      <c r="E26" s="4" t="s">
        <v>16</v>
      </c>
      <c r="F26" s="4">
        <v>70</v>
      </c>
      <c r="G26" s="5">
        <v>379.512</v>
      </c>
    </row>
    <row r="27" spans="1:7">
      <c r="A27" s="4">
        <v>13</v>
      </c>
      <c r="B27" s="4" t="s">
        <v>7</v>
      </c>
      <c r="C27" s="4" t="s">
        <v>15</v>
      </c>
      <c r="D27" s="4" t="s">
        <v>12</v>
      </c>
      <c r="E27" s="4" t="s">
        <v>16</v>
      </c>
      <c r="F27" s="4">
        <v>72</v>
      </c>
      <c r="G27" s="5">
        <v>397.58399999999995</v>
      </c>
    </row>
    <row r="28" spans="1:7">
      <c r="A28" s="4">
        <v>14</v>
      </c>
      <c r="B28" s="4" t="s">
        <v>7</v>
      </c>
      <c r="C28" s="4" t="s">
        <v>15</v>
      </c>
      <c r="D28" s="4" t="s">
        <v>12</v>
      </c>
      <c r="E28" s="4" t="s">
        <v>16</v>
      </c>
      <c r="F28" s="4">
        <v>73</v>
      </c>
      <c r="G28" s="5">
        <v>659.62799999999993</v>
      </c>
    </row>
    <row r="29" spans="1:7">
      <c r="A29" s="4">
        <v>15</v>
      </c>
      <c r="B29" s="4" t="s">
        <v>7</v>
      </c>
      <c r="C29" s="4" t="s">
        <v>15</v>
      </c>
      <c r="D29" s="4" t="s">
        <v>12</v>
      </c>
      <c r="E29" s="4" t="s">
        <v>16</v>
      </c>
      <c r="F29" s="4">
        <v>74</v>
      </c>
      <c r="G29" s="5">
        <v>482.92399999999998</v>
      </c>
    </row>
    <row r="30" spans="1:7">
      <c r="A30" s="4">
        <v>17</v>
      </c>
      <c r="B30" s="4" t="s">
        <v>7</v>
      </c>
      <c r="C30" s="4" t="s">
        <v>17</v>
      </c>
      <c r="D30" s="6" t="s">
        <v>14</v>
      </c>
      <c r="E30" s="4" t="s">
        <v>16</v>
      </c>
      <c r="F30" s="6">
        <v>76</v>
      </c>
      <c r="G30" s="6">
        <v>1100</v>
      </c>
    </row>
    <row r="31" spans="1:7">
      <c r="A31" s="4">
        <v>19</v>
      </c>
      <c r="B31" s="4" t="s">
        <v>7</v>
      </c>
      <c r="C31" s="4" t="s">
        <v>15</v>
      </c>
      <c r="D31" s="4" t="s">
        <v>12</v>
      </c>
      <c r="E31" s="4" t="s">
        <v>16</v>
      </c>
      <c r="F31" s="4">
        <v>79</v>
      </c>
      <c r="G31" s="5">
        <v>475.89599999999996</v>
      </c>
    </row>
    <row r="32" spans="1:7">
      <c r="A32" s="4">
        <v>23</v>
      </c>
      <c r="B32" s="4" t="s">
        <v>7</v>
      </c>
      <c r="C32" s="4" t="s">
        <v>15</v>
      </c>
      <c r="D32" s="4" t="s">
        <v>12</v>
      </c>
      <c r="E32" s="4" t="s">
        <v>16</v>
      </c>
      <c r="F32" s="4">
        <v>81</v>
      </c>
      <c r="G32" s="5">
        <v>691.25399999999991</v>
      </c>
    </row>
    <row r="33" spans="1:7">
      <c r="A33" s="4">
        <v>24</v>
      </c>
      <c r="B33" s="4" t="s">
        <v>7</v>
      </c>
      <c r="C33" s="4" t="s">
        <v>15</v>
      </c>
      <c r="D33" s="4" t="s">
        <v>12</v>
      </c>
      <c r="E33" s="4" t="s">
        <v>16</v>
      </c>
      <c r="F33" s="4">
        <v>83</v>
      </c>
      <c r="G33" s="5">
        <v>466.6592</v>
      </c>
    </row>
    <row r="34" spans="1:7">
      <c r="A34" s="4">
        <v>26</v>
      </c>
      <c r="B34" s="4" t="s">
        <v>7</v>
      </c>
      <c r="C34" s="4" t="s">
        <v>15</v>
      </c>
      <c r="D34" s="4" t="s">
        <v>12</v>
      </c>
      <c r="E34" s="4" t="s">
        <v>16</v>
      </c>
      <c r="F34" s="4">
        <v>84</v>
      </c>
      <c r="G34" s="5">
        <v>421.67999999999995</v>
      </c>
    </row>
    <row r="35" spans="1:7">
      <c r="A35" s="4">
        <v>27</v>
      </c>
      <c r="B35" s="4" t="s">
        <v>7</v>
      </c>
      <c r="C35" s="4" t="s">
        <v>15</v>
      </c>
      <c r="D35" s="4" t="s">
        <v>12</v>
      </c>
      <c r="E35" s="4" t="s">
        <v>16</v>
      </c>
      <c r="F35" s="4">
        <v>85</v>
      </c>
      <c r="G35" s="5">
        <v>725.39</v>
      </c>
    </row>
    <row r="36" spans="1:7">
      <c r="A36" s="4">
        <v>30</v>
      </c>
      <c r="B36" s="4" t="s">
        <v>7</v>
      </c>
      <c r="C36" s="4" t="s">
        <v>15</v>
      </c>
      <c r="D36" s="4" t="s">
        <v>12</v>
      </c>
      <c r="E36" s="4" t="s">
        <v>16</v>
      </c>
      <c r="F36" s="4">
        <v>90</v>
      </c>
      <c r="G36" s="5">
        <v>406.61999999999995</v>
      </c>
    </row>
    <row r="37" spans="1:7">
      <c r="A37" s="4">
        <v>32</v>
      </c>
      <c r="B37" s="4" t="s">
        <v>7</v>
      </c>
      <c r="C37" s="4" t="s">
        <v>15</v>
      </c>
      <c r="D37" s="4" t="s">
        <v>12</v>
      </c>
      <c r="E37" s="4" t="s">
        <v>16</v>
      </c>
      <c r="F37" s="4">
        <v>92</v>
      </c>
      <c r="G37" s="5">
        <v>831.31200000000001</v>
      </c>
    </row>
    <row r="38" spans="1:7">
      <c r="A38" s="4">
        <v>33</v>
      </c>
      <c r="B38" s="4" t="s">
        <v>7</v>
      </c>
      <c r="C38" s="4" t="s">
        <v>15</v>
      </c>
      <c r="D38" s="4" t="s">
        <v>12</v>
      </c>
      <c r="E38" s="4" t="s">
        <v>16</v>
      </c>
      <c r="F38" s="4">
        <v>100</v>
      </c>
      <c r="G38" s="5">
        <v>702.79999999999984</v>
      </c>
    </row>
    <row r="39" spans="1:7">
      <c r="A39" s="4">
        <v>35</v>
      </c>
      <c r="B39" s="4" t="s">
        <v>7</v>
      </c>
      <c r="C39" s="4" t="s">
        <v>15</v>
      </c>
      <c r="D39" s="4" t="s">
        <v>12</v>
      </c>
      <c r="E39" s="4" t="s">
        <v>16</v>
      </c>
      <c r="F39" s="4">
        <v>102</v>
      </c>
      <c r="G39" s="5">
        <v>921.67199999999991</v>
      </c>
    </row>
    <row r="40" spans="1:7">
      <c r="A40" s="4">
        <v>36</v>
      </c>
      <c r="B40" s="4" t="s">
        <v>7</v>
      </c>
      <c r="C40" s="4" t="s">
        <v>15</v>
      </c>
      <c r="D40" s="4" t="s">
        <v>12</v>
      </c>
      <c r="E40" s="4" t="s">
        <v>16</v>
      </c>
      <c r="F40" s="4">
        <v>105</v>
      </c>
      <c r="G40" s="5">
        <v>2196.2953367875648</v>
      </c>
    </row>
    <row r="41" spans="1:7">
      <c r="A41" s="4">
        <v>37</v>
      </c>
      <c r="B41" s="4" t="s">
        <v>7</v>
      </c>
      <c r="C41" s="4" t="s">
        <v>15</v>
      </c>
      <c r="D41" s="4" t="s">
        <v>12</v>
      </c>
      <c r="E41" s="4" t="s">
        <v>16</v>
      </c>
      <c r="F41" s="4">
        <v>108</v>
      </c>
      <c r="G41" s="5">
        <v>650.59199999999998</v>
      </c>
    </row>
    <row r="42" spans="1:7">
      <c r="A42" s="4">
        <v>38</v>
      </c>
      <c r="B42" s="4" t="s">
        <v>7</v>
      </c>
      <c r="C42" s="4" t="s">
        <v>17</v>
      </c>
      <c r="D42" s="6" t="s">
        <v>14</v>
      </c>
      <c r="E42" s="4" t="s">
        <v>16</v>
      </c>
      <c r="F42" s="6">
        <v>108</v>
      </c>
      <c r="G42" s="6">
        <v>1276</v>
      </c>
    </row>
    <row r="43" spans="1:7">
      <c r="A43" s="4">
        <v>39</v>
      </c>
      <c r="B43" s="4" t="s">
        <v>7</v>
      </c>
      <c r="C43" s="4" t="s">
        <v>17</v>
      </c>
      <c r="D43" s="4" t="s">
        <v>12</v>
      </c>
      <c r="E43" s="4" t="s">
        <v>16</v>
      </c>
      <c r="F43" s="6">
        <v>110</v>
      </c>
      <c r="G43" s="6">
        <v>884</v>
      </c>
    </row>
    <row r="44" spans="1:7">
      <c r="A44" s="4">
        <v>40</v>
      </c>
      <c r="B44" s="4" t="s">
        <v>7</v>
      </c>
      <c r="C44" s="4" t="s">
        <v>15</v>
      </c>
      <c r="D44" s="4" t="s">
        <v>12</v>
      </c>
      <c r="E44" s="4" t="s">
        <v>16</v>
      </c>
      <c r="F44" s="4">
        <v>114</v>
      </c>
      <c r="G44" s="5">
        <v>502</v>
      </c>
    </row>
    <row r="45" spans="1:7">
      <c r="A45" s="4">
        <v>43</v>
      </c>
      <c r="B45" s="4" t="s">
        <v>7</v>
      </c>
      <c r="C45" s="4" t="s">
        <v>15</v>
      </c>
      <c r="D45" s="4" t="s">
        <v>12</v>
      </c>
      <c r="E45" s="4" t="s">
        <v>16</v>
      </c>
      <c r="F45" s="4">
        <v>115</v>
      </c>
      <c r="G45" s="5">
        <v>692.75999999999988</v>
      </c>
    </row>
    <row r="46" spans="1:7">
      <c r="A46" s="4">
        <v>45</v>
      </c>
      <c r="B46" s="4" t="s">
        <v>7</v>
      </c>
      <c r="C46" s="4" t="s">
        <v>15</v>
      </c>
      <c r="D46" s="4" t="s">
        <v>12</v>
      </c>
      <c r="E46" s="4" t="s">
        <v>16</v>
      </c>
      <c r="F46" s="4">
        <v>117</v>
      </c>
      <c r="G46" s="5">
        <v>728.30159999999989</v>
      </c>
    </row>
    <row r="47" spans="1:7">
      <c r="A47" s="4">
        <v>46</v>
      </c>
      <c r="B47" s="4" t="s">
        <v>7</v>
      </c>
      <c r="C47" s="4" t="s">
        <v>15</v>
      </c>
      <c r="D47" s="4" t="s">
        <v>12</v>
      </c>
      <c r="E47" s="4" t="s">
        <v>16</v>
      </c>
      <c r="F47" s="4">
        <v>117</v>
      </c>
      <c r="G47" s="5">
        <v>998.47799999999984</v>
      </c>
    </row>
    <row r="48" spans="1:7">
      <c r="A48" s="4">
        <v>47</v>
      </c>
      <c r="B48" s="4" t="s">
        <v>7</v>
      </c>
      <c r="C48" s="4" t="s">
        <v>15</v>
      </c>
      <c r="D48" s="4" t="s">
        <v>12</v>
      </c>
      <c r="E48" s="4" t="s">
        <v>16</v>
      </c>
      <c r="F48" s="4">
        <v>118</v>
      </c>
      <c r="G48" s="5">
        <v>1795.0673575129535</v>
      </c>
    </row>
    <row r="49" spans="1:7">
      <c r="A49" s="4">
        <v>48</v>
      </c>
      <c r="B49" s="4" t="s">
        <v>7</v>
      </c>
      <c r="C49" s="4" t="s">
        <v>17</v>
      </c>
      <c r="D49" s="4" t="s">
        <v>12</v>
      </c>
      <c r="E49" s="4" t="s">
        <v>16</v>
      </c>
      <c r="F49" s="6">
        <v>122</v>
      </c>
      <c r="G49" s="6">
        <v>1045</v>
      </c>
    </row>
    <row r="50" spans="1:7">
      <c r="A50" s="4">
        <v>49</v>
      </c>
      <c r="B50" s="4" t="s">
        <v>7</v>
      </c>
      <c r="C50" s="4" t="s">
        <v>15</v>
      </c>
      <c r="D50" s="4" t="s">
        <v>12</v>
      </c>
      <c r="E50" s="4" t="s">
        <v>16</v>
      </c>
      <c r="F50" s="4">
        <v>125</v>
      </c>
      <c r="G50" s="5">
        <v>1004</v>
      </c>
    </row>
    <row r="51" spans="1:7">
      <c r="A51" s="4">
        <v>51</v>
      </c>
      <c r="B51" s="4" t="s">
        <v>7</v>
      </c>
      <c r="C51" s="4" t="s">
        <v>15</v>
      </c>
      <c r="D51" s="4" t="s">
        <v>12</v>
      </c>
      <c r="E51" s="4" t="s">
        <v>16</v>
      </c>
      <c r="F51" s="4">
        <v>127</v>
      </c>
      <c r="G51" s="5">
        <v>1020.064</v>
      </c>
    </row>
    <row r="52" spans="1:7">
      <c r="A52" s="4">
        <v>52</v>
      </c>
      <c r="B52" s="4" t="s">
        <v>7</v>
      </c>
      <c r="C52" s="4" t="s">
        <v>15</v>
      </c>
      <c r="D52" s="4" t="s">
        <v>12</v>
      </c>
      <c r="E52" s="4" t="s">
        <v>16</v>
      </c>
      <c r="F52" s="6">
        <v>135</v>
      </c>
      <c r="G52" s="6">
        <v>1053</v>
      </c>
    </row>
    <row r="53" spans="1:7">
      <c r="A53" s="4">
        <v>54</v>
      </c>
      <c r="B53" s="4" t="s">
        <v>7</v>
      </c>
      <c r="C53" s="4" t="s">
        <v>15</v>
      </c>
      <c r="D53" s="4" t="s">
        <v>12</v>
      </c>
      <c r="E53" s="4" t="s">
        <v>16</v>
      </c>
      <c r="F53" s="4">
        <v>136</v>
      </c>
      <c r="G53" s="5">
        <v>1024.08</v>
      </c>
    </row>
    <row r="54" spans="1:7">
      <c r="A54" s="4">
        <v>55</v>
      </c>
      <c r="B54" s="4" t="s">
        <v>7</v>
      </c>
      <c r="C54" s="4" t="s">
        <v>15</v>
      </c>
      <c r="D54" s="4" t="s">
        <v>12</v>
      </c>
      <c r="E54" s="4" t="s">
        <v>16</v>
      </c>
      <c r="F54" s="4">
        <v>143</v>
      </c>
      <c r="G54" s="5">
        <v>861.4319999999999</v>
      </c>
    </row>
    <row r="55" spans="1:7">
      <c r="A55" s="4">
        <v>59</v>
      </c>
      <c r="B55" s="4" t="s">
        <v>7</v>
      </c>
      <c r="C55" s="4" t="s">
        <v>15</v>
      </c>
      <c r="D55" s="4" t="s">
        <v>12</v>
      </c>
      <c r="E55" s="4" t="s">
        <v>16</v>
      </c>
      <c r="F55" s="4">
        <v>153</v>
      </c>
      <c r="G55" s="5">
        <v>1228.896</v>
      </c>
    </row>
    <row r="56" spans="1:7">
      <c r="A56" s="4">
        <v>60</v>
      </c>
      <c r="B56" s="4" t="s">
        <v>7</v>
      </c>
      <c r="C56" s="4" t="s">
        <v>15</v>
      </c>
      <c r="D56" s="4" t="s">
        <v>12</v>
      </c>
      <c r="E56" s="4" t="s">
        <v>16</v>
      </c>
      <c r="F56" s="6">
        <v>156</v>
      </c>
      <c r="G56" s="6">
        <v>1025</v>
      </c>
    </row>
    <row r="57" spans="1:7">
      <c r="A57" s="4">
        <v>63</v>
      </c>
      <c r="B57" s="4" t="s">
        <v>7</v>
      </c>
      <c r="C57" s="4" t="s">
        <v>15</v>
      </c>
      <c r="D57" s="4" t="s">
        <v>12</v>
      </c>
      <c r="E57" s="4" t="s">
        <v>16</v>
      </c>
      <c r="F57" s="4">
        <v>162</v>
      </c>
      <c r="G57" s="5">
        <v>1305</v>
      </c>
    </row>
    <row r="58" spans="1:7">
      <c r="A58" s="4">
        <v>64</v>
      </c>
      <c r="B58" s="4" t="s">
        <v>7</v>
      </c>
      <c r="C58" s="4" t="s">
        <v>15</v>
      </c>
      <c r="D58" s="4" t="s">
        <v>12</v>
      </c>
      <c r="E58" s="4" t="s">
        <v>16</v>
      </c>
      <c r="F58" s="4">
        <v>162</v>
      </c>
      <c r="G58" s="5">
        <v>1903.7602072538862</v>
      </c>
    </row>
    <row r="59" spans="1:7">
      <c r="A59" s="4">
        <v>71</v>
      </c>
      <c r="B59" s="4" t="s">
        <v>7</v>
      </c>
      <c r="C59" s="4" t="s">
        <v>15</v>
      </c>
      <c r="D59" s="6" t="s">
        <v>14</v>
      </c>
      <c r="E59" s="4" t="s">
        <v>16</v>
      </c>
      <c r="F59" s="6">
        <v>183</v>
      </c>
      <c r="G59" s="6">
        <v>460</v>
      </c>
    </row>
    <row r="60" spans="1:7">
      <c r="A60" s="4">
        <v>72</v>
      </c>
      <c r="B60" s="4" t="s">
        <v>7</v>
      </c>
      <c r="C60" s="4" t="s">
        <v>17</v>
      </c>
      <c r="D60" s="4" t="s">
        <v>12</v>
      </c>
      <c r="E60" s="4" t="s">
        <v>16</v>
      </c>
      <c r="F60" s="6">
        <v>189</v>
      </c>
      <c r="G60" s="6">
        <v>315</v>
      </c>
    </row>
    <row r="61" spans="1:7">
      <c r="A61" s="4">
        <v>73</v>
      </c>
      <c r="B61" s="4" t="s">
        <v>7</v>
      </c>
      <c r="C61" s="4" t="s">
        <v>15</v>
      </c>
      <c r="D61" s="4" t="s">
        <v>12</v>
      </c>
      <c r="E61" s="4" t="s">
        <v>16</v>
      </c>
      <c r="F61" s="4">
        <v>193</v>
      </c>
      <c r="G61" s="5">
        <v>734</v>
      </c>
    </row>
    <row r="62" spans="1:7">
      <c r="A62" s="4">
        <v>74</v>
      </c>
      <c r="B62" s="4" t="s">
        <v>7</v>
      </c>
      <c r="C62" s="4" t="s">
        <v>17</v>
      </c>
      <c r="D62" s="4" t="s">
        <v>12</v>
      </c>
      <c r="E62" s="4" t="s">
        <v>16</v>
      </c>
      <c r="F62" s="6">
        <v>195</v>
      </c>
      <c r="G62" s="6">
        <v>322</v>
      </c>
    </row>
    <row r="63" spans="1:7">
      <c r="A63" s="4">
        <v>75</v>
      </c>
      <c r="B63" s="4" t="s">
        <v>7</v>
      </c>
      <c r="C63" s="4" t="s">
        <v>15</v>
      </c>
      <c r="D63" s="4" t="s">
        <v>12</v>
      </c>
      <c r="E63" s="4" t="s">
        <v>16</v>
      </c>
      <c r="F63" s="4">
        <v>209</v>
      </c>
      <c r="G63" s="5">
        <v>1993.4419999999996</v>
      </c>
    </row>
    <row r="64" spans="1:7">
      <c r="A64" s="4">
        <v>80</v>
      </c>
      <c r="B64" s="4" t="s">
        <v>7</v>
      </c>
      <c r="C64" s="4" t="s">
        <v>15</v>
      </c>
      <c r="D64" s="4" t="s">
        <v>12</v>
      </c>
      <c r="E64" s="4" t="s">
        <v>16</v>
      </c>
      <c r="F64" s="4">
        <v>310</v>
      </c>
      <c r="G64" s="5">
        <v>933.7199999999998</v>
      </c>
    </row>
    <row r="65" spans="1:7">
      <c r="A65" s="4">
        <v>90</v>
      </c>
      <c r="B65" s="4" t="s">
        <v>7</v>
      </c>
      <c r="C65" s="4" t="s">
        <v>15</v>
      </c>
      <c r="D65" s="6" t="s">
        <v>14</v>
      </c>
      <c r="E65" s="4" t="s">
        <v>16</v>
      </c>
      <c r="F65" s="6">
        <v>849</v>
      </c>
      <c r="G65" s="6">
        <v>1874</v>
      </c>
    </row>
    <row r="67" spans="1:7">
      <c r="A67" t="s">
        <v>18</v>
      </c>
    </row>
    <row r="68" spans="1:7" ht="20">
      <c r="A68" s="13" t="s">
        <v>19</v>
      </c>
    </row>
    <row r="69" spans="1:7" ht="17">
      <c r="A69" s="14" t="s">
        <v>20</v>
      </c>
      <c r="B69" s="14" t="s">
        <v>21</v>
      </c>
      <c r="C69" s="14" t="s">
        <v>22</v>
      </c>
      <c r="D69" s="14" t="s">
        <v>23</v>
      </c>
      <c r="E69" s="14" t="s">
        <v>24</v>
      </c>
      <c r="F69" s="14" t="s">
        <v>25</v>
      </c>
      <c r="G69" s="14" t="s">
        <v>26</v>
      </c>
    </row>
    <row r="70" spans="1:7" ht="17">
      <c r="A70" s="14" t="s">
        <v>5</v>
      </c>
      <c r="B70" s="14">
        <v>44</v>
      </c>
      <c r="C70" s="14">
        <v>135.13999999999999</v>
      </c>
      <c r="D70" s="14">
        <v>121.05</v>
      </c>
      <c r="E70" s="14">
        <v>43</v>
      </c>
      <c r="F70" s="14">
        <v>112</v>
      </c>
      <c r="G70" s="14">
        <v>849</v>
      </c>
    </row>
    <row r="73" spans="1:7" ht="20">
      <c r="A73" s="13" t="s">
        <v>19</v>
      </c>
    </row>
    <row r="74" spans="1:7" ht="17">
      <c r="A74" s="14" t="s">
        <v>20</v>
      </c>
      <c r="B74" s="14" t="s">
        <v>21</v>
      </c>
      <c r="C74" s="14" t="s">
        <v>22</v>
      </c>
      <c r="D74" s="14" t="s">
        <v>23</v>
      </c>
      <c r="E74" s="14" t="s">
        <v>24</v>
      </c>
      <c r="F74" s="14" t="s">
        <v>25</v>
      </c>
      <c r="G74" s="14" t="s">
        <v>26</v>
      </c>
    </row>
    <row r="75" spans="1:7" ht="17">
      <c r="A75" s="14" t="s">
        <v>6</v>
      </c>
      <c r="B75" s="14">
        <v>44</v>
      </c>
      <c r="C75" s="14">
        <v>858.25</v>
      </c>
      <c r="D75" s="14">
        <v>492.86</v>
      </c>
      <c r="E75" s="14">
        <v>150</v>
      </c>
      <c r="F75" s="14">
        <v>731</v>
      </c>
      <c r="G75" s="14">
        <v>2196</v>
      </c>
    </row>
    <row r="78" spans="1:7">
      <c r="A78" t="s">
        <v>28</v>
      </c>
    </row>
    <row r="79" spans="1:7" ht="20">
      <c r="A79" s="13" t="s">
        <v>29</v>
      </c>
    </row>
    <row r="80" spans="1:7" ht="17">
      <c r="A80" s="14" t="s">
        <v>30</v>
      </c>
      <c r="B80" s="14" t="s">
        <v>6</v>
      </c>
      <c r="C80" s="14"/>
      <c r="D80" s="14"/>
      <c r="E80" s="14"/>
      <c r="F80" s="14"/>
      <c r="G80" s="14"/>
    </row>
    <row r="81" spans="1:7" ht="17">
      <c r="A81" s="14">
        <v>19</v>
      </c>
      <c r="B81" s="14">
        <v>2196</v>
      </c>
      <c r="C81" s="14"/>
      <c r="D81" s="14"/>
      <c r="E81" s="14"/>
      <c r="F81" s="14"/>
      <c r="G81" s="14"/>
    </row>
    <row r="82" spans="1:7" ht="17">
      <c r="A82" s="14">
        <v>27</v>
      </c>
      <c r="B82" s="14">
        <v>1795</v>
      </c>
      <c r="C82" s="14"/>
      <c r="D82" s="14"/>
      <c r="E82" s="14"/>
      <c r="F82" s="14"/>
      <c r="G82" s="14"/>
    </row>
    <row r="83" spans="1:7" ht="17">
      <c r="A83" s="14">
        <v>37</v>
      </c>
      <c r="B83" s="14">
        <v>1904</v>
      </c>
      <c r="C83" s="14"/>
      <c r="D83" s="14"/>
      <c r="E83" s="14"/>
      <c r="F83" s="14"/>
      <c r="G83" s="14"/>
    </row>
    <row r="84" spans="1:7" ht="17">
      <c r="A84" s="14">
        <v>42</v>
      </c>
      <c r="B84" s="14">
        <v>1993</v>
      </c>
      <c r="C84" s="14"/>
      <c r="D84" s="14"/>
      <c r="E84" s="14"/>
      <c r="F84" s="14"/>
      <c r="G84" s="14"/>
    </row>
    <row r="85" spans="1:7" ht="17">
      <c r="A85" s="14">
        <v>44</v>
      </c>
      <c r="B85" s="14">
        <v>1874</v>
      </c>
      <c r="C85" s="14"/>
      <c r="D85" s="14"/>
      <c r="E85" s="14"/>
      <c r="F85" s="14"/>
      <c r="G85" s="14"/>
    </row>
    <row r="86" spans="1:7" ht="17">
      <c r="A86" s="16"/>
    </row>
    <row r="88" spans="1:7" ht="32">
      <c r="A88" s="1" t="s">
        <v>0</v>
      </c>
      <c r="B88" s="8" t="s">
        <v>1</v>
      </c>
      <c r="C88" s="7" t="s">
        <v>2</v>
      </c>
      <c r="D88" s="7" t="s">
        <v>3</v>
      </c>
      <c r="E88" s="9" t="s">
        <v>4</v>
      </c>
      <c r="F88" s="2" t="s">
        <v>5</v>
      </c>
      <c r="G88" s="2" t="s">
        <v>6</v>
      </c>
    </row>
    <row r="89" spans="1:7">
      <c r="A89" s="4">
        <v>3</v>
      </c>
      <c r="B89" s="4" t="s">
        <v>13</v>
      </c>
      <c r="C89" s="6" t="s">
        <v>8</v>
      </c>
      <c r="D89" s="6" t="s">
        <v>14</v>
      </c>
      <c r="E89" s="4" t="s">
        <v>10</v>
      </c>
      <c r="F89" s="6">
        <v>43</v>
      </c>
      <c r="G89" s="6">
        <v>150</v>
      </c>
    </row>
    <row r="90" spans="1:7">
      <c r="A90" s="4">
        <v>7</v>
      </c>
      <c r="B90" s="4" t="s">
        <v>7</v>
      </c>
      <c r="C90" s="4" t="s">
        <v>15</v>
      </c>
      <c r="D90" s="4" t="s">
        <v>12</v>
      </c>
      <c r="E90" s="4" t="s">
        <v>16</v>
      </c>
      <c r="F90" s="4">
        <v>52</v>
      </c>
      <c r="G90" s="5">
        <v>274.09199999999998</v>
      </c>
    </row>
    <row r="91" spans="1:7">
      <c r="A91" s="4">
        <v>8</v>
      </c>
      <c r="B91" s="4" t="s">
        <v>7</v>
      </c>
      <c r="C91" s="4" t="s">
        <v>15</v>
      </c>
      <c r="D91" s="4" t="s">
        <v>12</v>
      </c>
      <c r="E91" s="4" t="s">
        <v>16</v>
      </c>
      <c r="F91" s="4">
        <v>61</v>
      </c>
      <c r="G91" s="5">
        <v>336.84199999999998</v>
      </c>
    </row>
    <row r="92" spans="1:7">
      <c r="A92" s="4">
        <v>10</v>
      </c>
      <c r="B92" s="4" t="s">
        <v>7</v>
      </c>
      <c r="C92" s="4" t="s">
        <v>15</v>
      </c>
      <c r="D92" s="4" t="s">
        <v>12</v>
      </c>
      <c r="E92" s="4" t="s">
        <v>16</v>
      </c>
      <c r="F92" s="4">
        <v>68</v>
      </c>
      <c r="G92" s="5">
        <v>512.04</v>
      </c>
    </row>
    <row r="93" spans="1:7">
      <c r="A93" s="4">
        <v>12</v>
      </c>
      <c r="B93" s="4" t="s">
        <v>7</v>
      </c>
      <c r="C93" s="4" t="s">
        <v>15</v>
      </c>
      <c r="D93" s="4" t="s">
        <v>12</v>
      </c>
      <c r="E93" s="4" t="s">
        <v>16</v>
      </c>
      <c r="F93" s="4">
        <v>70</v>
      </c>
      <c r="G93" s="5">
        <v>379.512</v>
      </c>
    </row>
    <row r="94" spans="1:7">
      <c r="A94" s="4">
        <v>13</v>
      </c>
      <c r="B94" s="4" t="s">
        <v>7</v>
      </c>
      <c r="C94" s="4" t="s">
        <v>15</v>
      </c>
      <c r="D94" s="4" t="s">
        <v>12</v>
      </c>
      <c r="E94" s="4" t="s">
        <v>16</v>
      </c>
      <c r="F94" s="4">
        <v>72</v>
      </c>
      <c r="G94" s="5">
        <v>397.58399999999995</v>
      </c>
    </row>
    <row r="95" spans="1:7">
      <c r="A95" s="4">
        <v>14</v>
      </c>
      <c r="B95" s="4" t="s">
        <v>7</v>
      </c>
      <c r="C95" s="4" t="s">
        <v>15</v>
      </c>
      <c r="D95" s="4" t="s">
        <v>12</v>
      </c>
      <c r="E95" s="4" t="s">
        <v>16</v>
      </c>
      <c r="F95" s="4">
        <v>73</v>
      </c>
      <c r="G95" s="5">
        <v>659.62799999999993</v>
      </c>
    </row>
    <row r="96" spans="1:7">
      <c r="A96" s="4">
        <v>15</v>
      </c>
      <c r="B96" s="4" t="s">
        <v>7</v>
      </c>
      <c r="C96" s="4" t="s">
        <v>15</v>
      </c>
      <c r="D96" s="4" t="s">
        <v>12</v>
      </c>
      <c r="E96" s="4" t="s">
        <v>16</v>
      </c>
      <c r="F96" s="4">
        <v>74</v>
      </c>
      <c r="G96" s="5">
        <v>482.92399999999998</v>
      </c>
    </row>
    <row r="97" spans="1:8">
      <c r="A97" s="4">
        <v>17</v>
      </c>
      <c r="B97" s="4" t="s">
        <v>7</v>
      </c>
      <c r="C97" s="4" t="s">
        <v>17</v>
      </c>
      <c r="D97" s="6" t="s">
        <v>14</v>
      </c>
      <c r="E97" s="4" t="s">
        <v>16</v>
      </c>
      <c r="F97" s="6">
        <v>76</v>
      </c>
      <c r="G97" s="6">
        <v>1100</v>
      </c>
    </row>
    <row r="98" spans="1:8">
      <c r="A98" s="4">
        <v>19</v>
      </c>
      <c r="B98" s="4" t="s">
        <v>7</v>
      </c>
      <c r="C98" s="4" t="s">
        <v>15</v>
      </c>
      <c r="D98" s="4" t="s">
        <v>12</v>
      </c>
      <c r="E98" s="4" t="s">
        <v>16</v>
      </c>
      <c r="F98" s="4">
        <v>79</v>
      </c>
      <c r="G98" s="5">
        <v>475.89599999999996</v>
      </c>
    </row>
    <row r="99" spans="1:8">
      <c r="A99" s="4">
        <v>23</v>
      </c>
      <c r="B99" s="4" t="s">
        <v>7</v>
      </c>
      <c r="C99" s="4" t="s">
        <v>15</v>
      </c>
      <c r="D99" s="4" t="s">
        <v>12</v>
      </c>
      <c r="E99" s="4" t="s">
        <v>16</v>
      </c>
      <c r="F99" s="4">
        <v>81</v>
      </c>
      <c r="G99" s="5">
        <v>691.25399999999991</v>
      </c>
    </row>
    <row r="100" spans="1:8">
      <c r="A100" s="4">
        <v>24</v>
      </c>
      <c r="B100" s="4" t="s">
        <v>7</v>
      </c>
      <c r="C100" s="4" t="s">
        <v>15</v>
      </c>
      <c r="D100" s="4" t="s">
        <v>12</v>
      </c>
      <c r="E100" s="4" t="s">
        <v>16</v>
      </c>
      <c r="F100" s="4">
        <v>83</v>
      </c>
      <c r="G100" s="5">
        <v>466.6592</v>
      </c>
    </row>
    <row r="101" spans="1:8">
      <c r="A101" s="4">
        <v>26</v>
      </c>
      <c r="B101" s="4" t="s">
        <v>7</v>
      </c>
      <c r="C101" s="4" t="s">
        <v>15</v>
      </c>
      <c r="D101" s="4" t="s">
        <v>12</v>
      </c>
      <c r="E101" s="4" t="s">
        <v>16</v>
      </c>
      <c r="F101" s="4">
        <v>84</v>
      </c>
      <c r="G101" s="5">
        <v>421.67999999999995</v>
      </c>
    </row>
    <row r="102" spans="1:8">
      <c r="A102" s="4">
        <v>27</v>
      </c>
      <c r="B102" s="4" t="s">
        <v>7</v>
      </c>
      <c r="C102" s="4" t="s">
        <v>15</v>
      </c>
      <c r="D102" s="4" t="s">
        <v>12</v>
      </c>
      <c r="E102" s="4" t="s">
        <v>16</v>
      </c>
      <c r="F102" s="4">
        <v>85</v>
      </c>
      <c r="G102" s="5">
        <v>725.39</v>
      </c>
    </row>
    <row r="103" spans="1:8">
      <c r="A103" s="4">
        <v>30</v>
      </c>
      <c r="B103" s="4" t="s">
        <v>7</v>
      </c>
      <c r="C103" s="4" t="s">
        <v>15</v>
      </c>
      <c r="D103" s="4" t="s">
        <v>12</v>
      </c>
      <c r="E103" s="4" t="s">
        <v>16</v>
      </c>
      <c r="F103" s="4">
        <v>90</v>
      </c>
      <c r="G103" s="5">
        <v>406.61999999999995</v>
      </c>
    </row>
    <row r="104" spans="1:8">
      <c r="A104" s="4">
        <v>32</v>
      </c>
      <c r="B104" s="4" t="s">
        <v>7</v>
      </c>
      <c r="C104" s="4" t="s">
        <v>15</v>
      </c>
      <c r="D104" s="4" t="s">
        <v>12</v>
      </c>
      <c r="E104" s="4" t="s">
        <v>16</v>
      </c>
      <c r="F104" s="4">
        <v>92</v>
      </c>
      <c r="G104" s="5">
        <v>831.31200000000001</v>
      </c>
    </row>
    <row r="105" spans="1:8">
      <c r="A105" s="4">
        <v>33</v>
      </c>
      <c r="B105" s="4" t="s">
        <v>7</v>
      </c>
      <c r="C105" s="4" t="s">
        <v>15</v>
      </c>
      <c r="D105" s="4" t="s">
        <v>12</v>
      </c>
      <c r="E105" s="4" t="s">
        <v>16</v>
      </c>
      <c r="F105" s="4">
        <v>100</v>
      </c>
      <c r="G105" s="5">
        <v>702.79999999999984</v>
      </c>
    </row>
    <row r="106" spans="1:8">
      <c r="A106" s="4">
        <v>35</v>
      </c>
      <c r="B106" s="4" t="s">
        <v>7</v>
      </c>
      <c r="C106" s="4" t="s">
        <v>15</v>
      </c>
      <c r="D106" s="4" t="s">
        <v>12</v>
      </c>
      <c r="E106" s="4" t="s">
        <v>16</v>
      </c>
      <c r="F106" s="4">
        <v>102</v>
      </c>
      <c r="G106" s="5">
        <v>921.67199999999991</v>
      </c>
    </row>
    <row r="107" spans="1:8">
      <c r="A107" s="4">
        <v>36</v>
      </c>
      <c r="B107" s="4" t="s">
        <v>7</v>
      </c>
      <c r="C107" s="4" t="s">
        <v>15</v>
      </c>
      <c r="D107" s="4" t="s">
        <v>12</v>
      </c>
      <c r="E107" s="4" t="s">
        <v>16</v>
      </c>
      <c r="F107" s="4">
        <v>105</v>
      </c>
      <c r="G107" s="5">
        <v>2196.2953367875648</v>
      </c>
      <c r="H107" s="21" t="s">
        <v>44</v>
      </c>
    </row>
    <row r="108" spans="1:8">
      <c r="A108" s="4">
        <v>37</v>
      </c>
      <c r="B108" s="4" t="s">
        <v>7</v>
      </c>
      <c r="C108" s="4" t="s">
        <v>15</v>
      </c>
      <c r="D108" s="4" t="s">
        <v>12</v>
      </c>
      <c r="E108" s="4" t="s">
        <v>16</v>
      </c>
      <c r="F108" s="4">
        <v>108</v>
      </c>
      <c r="G108" s="5">
        <v>650.59199999999998</v>
      </c>
    </row>
    <row r="109" spans="1:8">
      <c r="A109" s="4">
        <v>38</v>
      </c>
      <c r="B109" s="4" t="s">
        <v>7</v>
      </c>
      <c r="C109" s="4" t="s">
        <v>17</v>
      </c>
      <c r="D109" s="6" t="s">
        <v>14</v>
      </c>
      <c r="E109" s="4" t="s">
        <v>16</v>
      </c>
      <c r="F109" s="6">
        <v>108</v>
      </c>
      <c r="G109" s="6">
        <v>1276</v>
      </c>
    </row>
    <row r="110" spans="1:8">
      <c r="A110" s="4">
        <v>39</v>
      </c>
      <c r="B110" s="4" t="s">
        <v>7</v>
      </c>
      <c r="C110" s="4" t="s">
        <v>17</v>
      </c>
      <c r="D110" s="4" t="s">
        <v>12</v>
      </c>
      <c r="E110" s="4" t="s">
        <v>16</v>
      </c>
      <c r="F110" s="6">
        <v>110</v>
      </c>
      <c r="G110" s="6">
        <v>884</v>
      </c>
    </row>
    <row r="111" spans="1:8">
      <c r="A111" s="4">
        <v>40</v>
      </c>
      <c r="B111" s="4" t="s">
        <v>7</v>
      </c>
      <c r="C111" s="4" t="s">
        <v>15</v>
      </c>
      <c r="D111" s="4" t="s">
        <v>12</v>
      </c>
      <c r="E111" s="4" t="s">
        <v>16</v>
      </c>
      <c r="F111" s="4">
        <v>114</v>
      </c>
      <c r="G111" s="5">
        <v>502</v>
      </c>
    </row>
    <row r="112" spans="1:8">
      <c r="A112" s="4">
        <v>43</v>
      </c>
      <c r="B112" s="4" t="s">
        <v>7</v>
      </c>
      <c r="C112" s="4" t="s">
        <v>15</v>
      </c>
      <c r="D112" s="4" t="s">
        <v>12</v>
      </c>
      <c r="E112" s="4" t="s">
        <v>16</v>
      </c>
      <c r="F112" s="4">
        <v>115</v>
      </c>
      <c r="G112" s="5">
        <v>692.75999999999988</v>
      </c>
    </row>
    <row r="113" spans="1:8">
      <c r="A113" s="4">
        <v>45</v>
      </c>
      <c r="B113" s="4" t="s">
        <v>7</v>
      </c>
      <c r="C113" s="4" t="s">
        <v>15</v>
      </c>
      <c r="D113" s="4" t="s">
        <v>12</v>
      </c>
      <c r="E113" s="4" t="s">
        <v>16</v>
      </c>
      <c r="F113" s="4">
        <v>117</v>
      </c>
      <c r="G113" s="5">
        <v>728.30159999999989</v>
      </c>
    </row>
    <row r="114" spans="1:8">
      <c r="A114" s="4">
        <v>46</v>
      </c>
      <c r="B114" s="4" t="s">
        <v>7</v>
      </c>
      <c r="C114" s="4" t="s">
        <v>15</v>
      </c>
      <c r="D114" s="4" t="s">
        <v>12</v>
      </c>
      <c r="E114" s="4" t="s">
        <v>16</v>
      </c>
      <c r="F114" s="4">
        <v>117</v>
      </c>
      <c r="G114" s="5">
        <v>998.47799999999984</v>
      </c>
    </row>
    <row r="115" spans="1:8">
      <c r="A115" s="4">
        <v>47</v>
      </c>
      <c r="B115" s="4" t="s">
        <v>7</v>
      </c>
      <c r="C115" s="4" t="s">
        <v>15</v>
      </c>
      <c r="D115" s="4" t="s">
        <v>12</v>
      </c>
      <c r="E115" s="4" t="s">
        <v>16</v>
      </c>
      <c r="F115" s="4">
        <v>118</v>
      </c>
      <c r="G115" s="5">
        <v>1795.0673575129535</v>
      </c>
      <c r="H115" s="21" t="s">
        <v>44</v>
      </c>
    </row>
    <row r="116" spans="1:8">
      <c r="A116" s="4">
        <v>48</v>
      </c>
      <c r="B116" s="4" t="s">
        <v>7</v>
      </c>
      <c r="C116" s="4" t="s">
        <v>17</v>
      </c>
      <c r="D116" s="4" t="s">
        <v>12</v>
      </c>
      <c r="E116" s="4" t="s">
        <v>16</v>
      </c>
      <c r="F116" s="6">
        <v>122</v>
      </c>
      <c r="G116" s="6">
        <v>1045</v>
      </c>
    </row>
    <row r="117" spans="1:8">
      <c r="A117" s="4">
        <v>49</v>
      </c>
      <c r="B117" s="4" t="s">
        <v>7</v>
      </c>
      <c r="C117" s="4" t="s">
        <v>15</v>
      </c>
      <c r="D117" s="4" t="s">
        <v>12</v>
      </c>
      <c r="E117" s="4" t="s">
        <v>16</v>
      </c>
      <c r="F117" s="4">
        <v>125</v>
      </c>
      <c r="G117" s="5">
        <v>1004</v>
      </c>
    </row>
    <row r="118" spans="1:8">
      <c r="A118" s="4">
        <v>51</v>
      </c>
      <c r="B118" s="4" t="s">
        <v>7</v>
      </c>
      <c r="C118" s="4" t="s">
        <v>15</v>
      </c>
      <c r="D118" s="4" t="s">
        <v>12</v>
      </c>
      <c r="E118" s="4" t="s">
        <v>16</v>
      </c>
      <c r="F118" s="4">
        <v>127</v>
      </c>
      <c r="G118" s="5">
        <v>1020.064</v>
      </c>
    </row>
    <row r="119" spans="1:8">
      <c r="A119" s="4">
        <v>52</v>
      </c>
      <c r="B119" s="4" t="s">
        <v>7</v>
      </c>
      <c r="C119" s="4" t="s">
        <v>15</v>
      </c>
      <c r="D119" s="4" t="s">
        <v>12</v>
      </c>
      <c r="E119" s="4" t="s">
        <v>16</v>
      </c>
      <c r="F119" s="6">
        <v>135</v>
      </c>
      <c r="G119" s="6">
        <v>1053</v>
      </c>
    </row>
    <row r="120" spans="1:8">
      <c r="A120" s="4">
        <v>54</v>
      </c>
      <c r="B120" s="4" t="s">
        <v>7</v>
      </c>
      <c r="C120" s="4" t="s">
        <v>15</v>
      </c>
      <c r="D120" s="4" t="s">
        <v>12</v>
      </c>
      <c r="E120" s="4" t="s">
        <v>16</v>
      </c>
      <c r="F120" s="4">
        <v>136</v>
      </c>
      <c r="G120" s="5">
        <v>1024.08</v>
      </c>
    </row>
    <row r="121" spans="1:8">
      <c r="A121" s="4">
        <v>55</v>
      </c>
      <c r="B121" s="4" t="s">
        <v>7</v>
      </c>
      <c r="C121" s="4" t="s">
        <v>15</v>
      </c>
      <c r="D121" s="4" t="s">
        <v>12</v>
      </c>
      <c r="E121" s="4" t="s">
        <v>16</v>
      </c>
      <c r="F121" s="4">
        <v>143</v>
      </c>
      <c r="G121" s="5">
        <v>861.4319999999999</v>
      </c>
    </row>
    <row r="122" spans="1:8">
      <c r="A122" s="4">
        <v>59</v>
      </c>
      <c r="B122" s="4" t="s">
        <v>7</v>
      </c>
      <c r="C122" s="4" t="s">
        <v>15</v>
      </c>
      <c r="D122" s="4" t="s">
        <v>12</v>
      </c>
      <c r="E122" s="4" t="s">
        <v>16</v>
      </c>
      <c r="F122" s="4">
        <v>153</v>
      </c>
      <c r="G122" s="5">
        <v>1228.896</v>
      </c>
    </row>
    <row r="123" spans="1:8">
      <c r="A123" s="4">
        <v>60</v>
      </c>
      <c r="B123" s="4" t="s">
        <v>7</v>
      </c>
      <c r="C123" s="4" t="s">
        <v>15</v>
      </c>
      <c r="D123" s="4" t="s">
        <v>12</v>
      </c>
      <c r="E123" s="4" t="s">
        <v>16</v>
      </c>
      <c r="F123" s="6">
        <v>156</v>
      </c>
      <c r="G123" s="6">
        <v>1025</v>
      </c>
    </row>
    <row r="124" spans="1:8">
      <c r="A124" s="4">
        <v>63</v>
      </c>
      <c r="B124" s="4" t="s">
        <v>7</v>
      </c>
      <c r="C124" s="4" t="s">
        <v>15</v>
      </c>
      <c r="D124" s="4" t="s">
        <v>12</v>
      </c>
      <c r="E124" s="4" t="s">
        <v>16</v>
      </c>
      <c r="F124" s="4">
        <v>162</v>
      </c>
      <c r="G124" s="5">
        <v>1305</v>
      </c>
    </row>
    <row r="125" spans="1:8">
      <c r="A125" s="4">
        <v>64</v>
      </c>
      <c r="B125" s="4" t="s">
        <v>7</v>
      </c>
      <c r="C125" s="4" t="s">
        <v>15</v>
      </c>
      <c r="D125" s="4" t="s">
        <v>12</v>
      </c>
      <c r="E125" s="4" t="s">
        <v>16</v>
      </c>
      <c r="F125" s="4">
        <v>162</v>
      </c>
      <c r="G125" s="5">
        <v>1903.7602072538862</v>
      </c>
      <c r="H125" s="21" t="s">
        <v>44</v>
      </c>
    </row>
    <row r="126" spans="1:8">
      <c r="A126" s="4">
        <v>71</v>
      </c>
      <c r="B126" s="4" t="s">
        <v>7</v>
      </c>
      <c r="C126" s="4" t="s">
        <v>15</v>
      </c>
      <c r="D126" s="6" t="s">
        <v>14</v>
      </c>
      <c r="E126" s="4" t="s">
        <v>16</v>
      </c>
      <c r="F126" s="6">
        <v>183</v>
      </c>
      <c r="G126" s="6">
        <v>460</v>
      </c>
    </row>
    <row r="127" spans="1:8">
      <c r="A127" s="4">
        <v>72</v>
      </c>
      <c r="B127" s="4" t="s">
        <v>7</v>
      </c>
      <c r="C127" s="4" t="s">
        <v>17</v>
      </c>
      <c r="D127" s="4" t="s">
        <v>12</v>
      </c>
      <c r="E127" s="4" t="s">
        <v>16</v>
      </c>
      <c r="F127" s="6">
        <v>189</v>
      </c>
      <c r="G127" s="6">
        <v>315</v>
      </c>
    </row>
    <row r="128" spans="1:8">
      <c r="A128" s="4">
        <v>73</v>
      </c>
      <c r="B128" s="4" t="s">
        <v>7</v>
      </c>
      <c r="C128" s="4" t="s">
        <v>15</v>
      </c>
      <c r="D128" s="4" t="s">
        <v>12</v>
      </c>
      <c r="E128" s="4" t="s">
        <v>16</v>
      </c>
      <c r="F128" s="4">
        <v>193</v>
      </c>
      <c r="G128" s="5">
        <v>734</v>
      </c>
    </row>
    <row r="129" spans="1:8">
      <c r="A129" s="4">
        <v>74</v>
      </c>
      <c r="B129" s="4" t="s">
        <v>7</v>
      </c>
      <c r="C129" s="4" t="s">
        <v>17</v>
      </c>
      <c r="D129" s="4" t="s">
        <v>12</v>
      </c>
      <c r="E129" s="4" t="s">
        <v>16</v>
      </c>
      <c r="F129" s="6">
        <v>195</v>
      </c>
      <c r="G129" s="6">
        <v>322</v>
      </c>
    </row>
    <row r="130" spans="1:8">
      <c r="A130" s="4">
        <v>75</v>
      </c>
      <c r="B130" s="4" t="s">
        <v>7</v>
      </c>
      <c r="C130" s="4" t="s">
        <v>15</v>
      </c>
      <c r="D130" s="4" t="s">
        <v>12</v>
      </c>
      <c r="E130" s="4" t="s">
        <v>16</v>
      </c>
      <c r="F130" s="4">
        <v>209</v>
      </c>
      <c r="G130" s="5">
        <v>1993.4419999999996</v>
      </c>
      <c r="H130" s="21" t="s">
        <v>44</v>
      </c>
    </row>
    <row r="131" spans="1:8">
      <c r="A131" s="4">
        <v>80</v>
      </c>
      <c r="B131" s="4" t="s">
        <v>7</v>
      </c>
      <c r="C131" s="4" t="s">
        <v>15</v>
      </c>
      <c r="D131" s="4" t="s">
        <v>12</v>
      </c>
      <c r="E131" s="4" t="s">
        <v>16</v>
      </c>
      <c r="F131" s="4">
        <v>310</v>
      </c>
      <c r="G131" s="5">
        <v>933.7199999999998</v>
      </c>
    </row>
    <row r="132" spans="1:8">
      <c r="A132" s="4">
        <v>90</v>
      </c>
      <c r="B132" s="4" t="s">
        <v>7</v>
      </c>
      <c r="C132" s="4" t="s">
        <v>15</v>
      </c>
      <c r="D132" s="6" t="s">
        <v>14</v>
      </c>
      <c r="E132" s="4" t="s">
        <v>16</v>
      </c>
      <c r="F132" s="6">
        <v>849</v>
      </c>
      <c r="G132" s="6">
        <v>1874</v>
      </c>
      <c r="H132" s="21" t="s">
        <v>44</v>
      </c>
    </row>
    <row r="135" spans="1:8" ht="32">
      <c r="A135" s="1" t="s">
        <v>0</v>
      </c>
      <c r="B135" s="8" t="s">
        <v>1</v>
      </c>
      <c r="C135" s="7" t="s">
        <v>2</v>
      </c>
      <c r="D135" s="7" t="s">
        <v>3</v>
      </c>
      <c r="E135" s="9" t="s">
        <v>4</v>
      </c>
      <c r="F135" s="2" t="s">
        <v>5</v>
      </c>
      <c r="G135" s="2" t="s">
        <v>6</v>
      </c>
    </row>
    <row r="136" spans="1:8">
      <c r="A136" s="4">
        <v>3</v>
      </c>
      <c r="B136" s="4" t="s">
        <v>13</v>
      </c>
      <c r="C136" s="6" t="s">
        <v>8</v>
      </c>
      <c r="D136" s="6" t="s">
        <v>14</v>
      </c>
      <c r="E136" s="4" t="s">
        <v>10</v>
      </c>
      <c r="F136" s="6">
        <v>43</v>
      </c>
      <c r="G136" s="6">
        <v>150</v>
      </c>
    </row>
    <row r="137" spans="1:8">
      <c r="A137" s="4">
        <v>7</v>
      </c>
      <c r="B137" s="4" t="s">
        <v>7</v>
      </c>
      <c r="C137" s="4" t="s">
        <v>15</v>
      </c>
      <c r="D137" s="4" t="s">
        <v>12</v>
      </c>
      <c r="E137" s="4" t="s">
        <v>16</v>
      </c>
      <c r="F137" s="4">
        <v>52</v>
      </c>
      <c r="G137" s="5">
        <v>274.09199999999998</v>
      </c>
    </row>
    <row r="138" spans="1:8">
      <c r="A138" s="4">
        <v>8</v>
      </c>
      <c r="B138" s="4" t="s">
        <v>7</v>
      </c>
      <c r="C138" s="4" t="s">
        <v>15</v>
      </c>
      <c r="D138" s="4" t="s">
        <v>12</v>
      </c>
      <c r="E138" s="4" t="s">
        <v>16</v>
      </c>
      <c r="F138" s="4">
        <v>61</v>
      </c>
      <c r="G138" s="5">
        <v>336.84199999999998</v>
      </c>
    </row>
    <row r="139" spans="1:8">
      <c r="A139" s="4">
        <v>10</v>
      </c>
      <c r="B139" s="4" t="s">
        <v>7</v>
      </c>
      <c r="C139" s="4" t="s">
        <v>15</v>
      </c>
      <c r="D139" s="4" t="s">
        <v>12</v>
      </c>
      <c r="E139" s="4" t="s">
        <v>16</v>
      </c>
      <c r="F139" s="4">
        <v>68</v>
      </c>
      <c r="G139" s="5">
        <v>512.04</v>
      </c>
    </row>
    <row r="140" spans="1:8">
      <c r="A140" s="4">
        <v>12</v>
      </c>
      <c r="B140" s="4" t="s">
        <v>7</v>
      </c>
      <c r="C140" s="4" t="s">
        <v>15</v>
      </c>
      <c r="D140" s="4" t="s">
        <v>12</v>
      </c>
      <c r="E140" s="4" t="s">
        <v>16</v>
      </c>
      <c r="F140" s="4">
        <v>70</v>
      </c>
      <c r="G140" s="5">
        <v>379.512</v>
      </c>
    </row>
    <row r="141" spans="1:8">
      <c r="A141" s="4">
        <v>13</v>
      </c>
      <c r="B141" s="4" t="s">
        <v>7</v>
      </c>
      <c r="C141" s="4" t="s">
        <v>15</v>
      </c>
      <c r="D141" s="4" t="s">
        <v>12</v>
      </c>
      <c r="E141" s="4" t="s">
        <v>16</v>
      </c>
      <c r="F141" s="4">
        <v>72</v>
      </c>
      <c r="G141" s="5">
        <v>397.58399999999995</v>
      </c>
    </row>
    <row r="142" spans="1:8">
      <c r="A142" s="4">
        <v>14</v>
      </c>
      <c r="B142" s="4" t="s">
        <v>7</v>
      </c>
      <c r="C142" s="4" t="s">
        <v>15</v>
      </c>
      <c r="D142" s="4" t="s">
        <v>12</v>
      </c>
      <c r="E142" s="4" t="s">
        <v>16</v>
      </c>
      <c r="F142" s="4">
        <v>73</v>
      </c>
      <c r="G142" s="5">
        <v>659.62799999999993</v>
      </c>
    </row>
    <row r="143" spans="1:8">
      <c r="A143" s="4">
        <v>15</v>
      </c>
      <c r="B143" s="4" t="s">
        <v>7</v>
      </c>
      <c r="C143" s="4" t="s">
        <v>15</v>
      </c>
      <c r="D143" s="4" t="s">
        <v>12</v>
      </c>
      <c r="E143" s="4" t="s">
        <v>16</v>
      </c>
      <c r="F143" s="4">
        <v>74</v>
      </c>
      <c r="G143" s="5">
        <v>482.92399999999998</v>
      </c>
    </row>
    <row r="144" spans="1:8">
      <c r="A144" s="4">
        <v>17</v>
      </c>
      <c r="B144" s="4" t="s">
        <v>7</v>
      </c>
      <c r="C144" s="4" t="s">
        <v>17</v>
      </c>
      <c r="D144" s="6" t="s">
        <v>14</v>
      </c>
      <c r="E144" s="4" t="s">
        <v>16</v>
      </c>
      <c r="F144" s="6">
        <v>76</v>
      </c>
      <c r="G144" s="6">
        <v>1100</v>
      </c>
    </row>
    <row r="145" spans="1:7">
      <c r="A145" s="4">
        <v>19</v>
      </c>
      <c r="B145" s="4" t="s">
        <v>7</v>
      </c>
      <c r="C145" s="4" t="s">
        <v>15</v>
      </c>
      <c r="D145" s="4" t="s">
        <v>12</v>
      </c>
      <c r="E145" s="4" t="s">
        <v>16</v>
      </c>
      <c r="F145" s="4">
        <v>79</v>
      </c>
      <c r="G145" s="5">
        <v>475.89599999999996</v>
      </c>
    </row>
    <row r="146" spans="1:7">
      <c r="A146" s="4">
        <v>23</v>
      </c>
      <c r="B146" s="4" t="s">
        <v>7</v>
      </c>
      <c r="C146" s="4" t="s">
        <v>15</v>
      </c>
      <c r="D146" s="4" t="s">
        <v>12</v>
      </c>
      <c r="E146" s="4" t="s">
        <v>16</v>
      </c>
      <c r="F146" s="4">
        <v>81</v>
      </c>
      <c r="G146" s="5">
        <v>691.25399999999991</v>
      </c>
    </row>
    <row r="147" spans="1:7">
      <c r="A147" s="4">
        <v>24</v>
      </c>
      <c r="B147" s="4" t="s">
        <v>7</v>
      </c>
      <c r="C147" s="4" t="s">
        <v>15</v>
      </c>
      <c r="D147" s="4" t="s">
        <v>12</v>
      </c>
      <c r="E147" s="4" t="s">
        <v>16</v>
      </c>
      <c r="F147" s="4">
        <v>83</v>
      </c>
      <c r="G147" s="5">
        <v>466.6592</v>
      </c>
    </row>
    <row r="148" spans="1:7">
      <c r="A148" s="4">
        <v>26</v>
      </c>
      <c r="B148" s="4" t="s">
        <v>7</v>
      </c>
      <c r="C148" s="4" t="s">
        <v>15</v>
      </c>
      <c r="D148" s="4" t="s">
        <v>12</v>
      </c>
      <c r="E148" s="4" t="s">
        <v>16</v>
      </c>
      <c r="F148" s="4">
        <v>84</v>
      </c>
      <c r="G148" s="5">
        <v>421.67999999999995</v>
      </c>
    </row>
    <row r="149" spans="1:7">
      <c r="A149" s="4">
        <v>27</v>
      </c>
      <c r="B149" s="4" t="s">
        <v>7</v>
      </c>
      <c r="C149" s="4" t="s">
        <v>15</v>
      </c>
      <c r="D149" s="4" t="s">
        <v>12</v>
      </c>
      <c r="E149" s="4" t="s">
        <v>16</v>
      </c>
      <c r="F149" s="4">
        <v>85</v>
      </c>
      <c r="G149" s="5">
        <v>725.39</v>
      </c>
    </row>
    <row r="150" spans="1:7">
      <c r="A150" s="4">
        <v>30</v>
      </c>
      <c r="B150" s="4" t="s">
        <v>7</v>
      </c>
      <c r="C150" s="4" t="s">
        <v>15</v>
      </c>
      <c r="D150" s="4" t="s">
        <v>12</v>
      </c>
      <c r="E150" s="4" t="s">
        <v>16</v>
      </c>
      <c r="F150" s="4">
        <v>90</v>
      </c>
      <c r="G150" s="5">
        <v>406.61999999999995</v>
      </c>
    </row>
    <row r="151" spans="1:7">
      <c r="A151" s="4">
        <v>32</v>
      </c>
      <c r="B151" s="4" t="s">
        <v>7</v>
      </c>
      <c r="C151" s="4" t="s">
        <v>15</v>
      </c>
      <c r="D151" s="4" t="s">
        <v>12</v>
      </c>
      <c r="E151" s="4" t="s">
        <v>16</v>
      </c>
      <c r="F151" s="4">
        <v>92</v>
      </c>
      <c r="G151" s="5">
        <v>831.31200000000001</v>
      </c>
    </row>
    <row r="152" spans="1:7">
      <c r="A152" s="4">
        <v>33</v>
      </c>
      <c r="B152" s="4" t="s">
        <v>7</v>
      </c>
      <c r="C152" s="4" t="s">
        <v>15</v>
      </c>
      <c r="D152" s="4" t="s">
        <v>12</v>
      </c>
      <c r="E152" s="4" t="s">
        <v>16</v>
      </c>
      <c r="F152" s="4">
        <v>100</v>
      </c>
      <c r="G152" s="5">
        <v>702.79999999999984</v>
      </c>
    </row>
    <row r="153" spans="1:7">
      <c r="A153" s="4">
        <v>35</v>
      </c>
      <c r="B153" s="4" t="s">
        <v>7</v>
      </c>
      <c r="C153" s="4" t="s">
        <v>15</v>
      </c>
      <c r="D153" s="4" t="s">
        <v>12</v>
      </c>
      <c r="E153" s="4" t="s">
        <v>16</v>
      </c>
      <c r="F153" s="4">
        <v>102</v>
      </c>
      <c r="G153" s="5">
        <v>921.67199999999991</v>
      </c>
    </row>
    <row r="154" spans="1:7">
      <c r="A154" s="4">
        <v>37</v>
      </c>
      <c r="B154" s="4" t="s">
        <v>7</v>
      </c>
      <c r="C154" s="4" t="s">
        <v>15</v>
      </c>
      <c r="D154" s="4" t="s">
        <v>12</v>
      </c>
      <c r="E154" s="4" t="s">
        <v>16</v>
      </c>
      <c r="F154" s="4">
        <v>108</v>
      </c>
      <c r="G154" s="5">
        <v>650.59199999999998</v>
      </c>
    </row>
    <row r="155" spans="1:7">
      <c r="A155" s="4">
        <v>38</v>
      </c>
      <c r="B155" s="4" t="s">
        <v>7</v>
      </c>
      <c r="C155" s="4" t="s">
        <v>17</v>
      </c>
      <c r="D155" s="6" t="s">
        <v>14</v>
      </c>
      <c r="E155" s="4" t="s">
        <v>16</v>
      </c>
      <c r="F155" s="6">
        <v>108</v>
      </c>
      <c r="G155" s="6">
        <v>1276</v>
      </c>
    </row>
    <row r="156" spans="1:7">
      <c r="A156" s="4">
        <v>39</v>
      </c>
      <c r="B156" s="4" t="s">
        <v>7</v>
      </c>
      <c r="C156" s="4" t="s">
        <v>17</v>
      </c>
      <c r="D156" s="4" t="s">
        <v>12</v>
      </c>
      <c r="E156" s="4" t="s">
        <v>16</v>
      </c>
      <c r="F156" s="6">
        <v>110</v>
      </c>
      <c r="G156" s="6">
        <v>884</v>
      </c>
    </row>
    <row r="157" spans="1:7">
      <c r="A157" s="4">
        <v>40</v>
      </c>
      <c r="B157" s="4" t="s">
        <v>7</v>
      </c>
      <c r="C157" s="4" t="s">
        <v>15</v>
      </c>
      <c r="D157" s="4" t="s">
        <v>12</v>
      </c>
      <c r="E157" s="4" t="s">
        <v>16</v>
      </c>
      <c r="F157" s="4">
        <v>114</v>
      </c>
      <c r="G157" s="5">
        <v>502</v>
      </c>
    </row>
    <row r="158" spans="1:7">
      <c r="A158" s="4">
        <v>43</v>
      </c>
      <c r="B158" s="4" t="s">
        <v>7</v>
      </c>
      <c r="C158" s="4" t="s">
        <v>15</v>
      </c>
      <c r="D158" s="4" t="s">
        <v>12</v>
      </c>
      <c r="E158" s="4" t="s">
        <v>16</v>
      </c>
      <c r="F158" s="4">
        <v>115</v>
      </c>
      <c r="G158" s="5">
        <v>692.75999999999988</v>
      </c>
    </row>
    <row r="159" spans="1:7">
      <c r="A159" s="4">
        <v>45</v>
      </c>
      <c r="B159" s="4" t="s">
        <v>7</v>
      </c>
      <c r="C159" s="4" t="s">
        <v>15</v>
      </c>
      <c r="D159" s="4" t="s">
        <v>12</v>
      </c>
      <c r="E159" s="4" t="s">
        <v>16</v>
      </c>
      <c r="F159" s="4">
        <v>117</v>
      </c>
      <c r="G159" s="5">
        <v>728.30159999999989</v>
      </c>
    </row>
    <row r="160" spans="1:7">
      <c r="A160" s="4">
        <v>46</v>
      </c>
      <c r="B160" s="4" t="s">
        <v>7</v>
      </c>
      <c r="C160" s="4" t="s">
        <v>15</v>
      </c>
      <c r="D160" s="4" t="s">
        <v>12</v>
      </c>
      <c r="E160" s="4" t="s">
        <v>16</v>
      </c>
      <c r="F160" s="4">
        <v>117</v>
      </c>
      <c r="G160" s="5">
        <v>998.47799999999984</v>
      </c>
    </row>
    <row r="161" spans="1:7">
      <c r="A161" s="4">
        <v>48</v>
      </c>
      <c r="B161" s="4" t="s">
        <v>7</v>
      </c>
      <c r="C161" s="4" t="s">
        <v>17</v>
      </c>
      <c r="D161" s="4" t="s">
        <v>12</v>
      </c>
      <c r="E161" s="4" t="s">
        <v>16</v>
      </c>
      <c r="F161" s="6">
        <v>122</v>
      </c>
      <c r="G161" s="6">
        <v>1045</v>
      </c>
    </row>
    <row r="162" spans="1:7">
      <c r="A162" s="4">
        <v>49</v>
      </c>
      <c r="B162" s="4" t="s">
        <v>7</v>
      </c>
      <c r="C162" s="4" t="s">
        <v>15</v>
      </c>
      <c r="D162" s="4" t="s">
        <v>12</v>
      </c>
      <c r="E162" s="4" t="s">
        <v>16</v>
      </c>
      <c r="F162" s="4">
        <v>125</v>
      </c>
      <c r="G162" s="5">
        <v>1004</v>
      </c>
    </row>
    <row r="163" spans="1:7">
      <c r="A163" s="4">
        <v>51</v>
      </c>
      <c r="B163" s="4" t="s">
        <v>7</v>
      </c>
      <c r="C163" s="4" t="s">
        <v>15</v>
      </c>
      <c r="D163" s="4" t="s">
        <v>12</v>
      </c>
      <c r="E163" s="4" t="s">
        <v>16</v>
      </c>
      <c r="F163" s="4">
        <v>127</v>
      </c>
      <c r="G163" s="5">
        <v>1020.064</v>
      </c>
    </row>
    <row r="164" spans="1:7">
      <c r="A164" s="4">
        <v>52</v>
      </c>
      <c r="B164" s="4" t="s">
        <v>7</v>
      </c>
      <c r="C164" s="4" t="s">
        <v>15</v>
      </c>
      <c r="D164" s="4" t="s">
        <v>12</v>
      </c>
      <c r="E164" s="4" t="s">
        <v>16</v>
      </c>
      <c r="F164" s="6">
        <v>135</v>
      </c>
      <c r="G164" s="6">
        <v>1053</v>
      </c>
    </row>
    <row r="165" spans="1:7">
      <c r="A165" s="4">
        <v>54</v>
      </c>
      <c r="B165" s="4" t="s">
        <v>7</v>
      </c>
      <c r="C165" s="4" t="s">
        <v>15</v>
      </c>
      <c r="D165" s="4" t="s">
        <v>12</v>
      </c>
      <c r="E165" s="4" t="s">
        <v>16</v>
      </c>
      <c r="F165" s="4">
        <v>136</v>
      </c>
      <c r="G165" s="5">
        <v>1024.08</v>
      </c>
    </row>
    <row r="166" spans="1:7">
      <c r="A166" s="4">
        <v>55</v>
      </c>
      <c r="B166" s="4" t="s">
        <v>7</v>
      </c>
      <c r="C166" s="4" t="s">
        <v>15</v>
      </c>
      <c r="D166" s="4" t="s">
        <v>12</v>
      </c>
      <c r="E166" s="4" t="s">
        <v>16</v>
      </c>
      <c r="F166" s="4">
        <v>143</v>
      </c>
      <c r="G166" s="5">
        <v>861.4319999999999</v>
      </c>
    </row>
    <row r="167" spans="1:7">
      <c r="A167" s="4">
        <v>59</v>
      </c>
      <c r="B167" s="4" t="s">
        <v>7</v>
      </c>
      <c r="C167" s="4" t="s">
        <v>15</v>
      </c>
      <c r="D167" s="4" t="s">
        <v>12</v>
      </c>
      <c r="E167" s="4" t="s">
        <v>16</v>
      </c>
      <c r="F167" s="4">
        <v>153</v>
      </c>
      <c r="G167" s="5">
        <v>1228.896</v>
      </c>
    </row>
    <row r="168" spans="1:7">
      <c r="A168" s="4">
        <v>60</v>
      </c>
      <c r="B168" s="4" t="s">
        <v>7</v>
      </c>
      <c r="C168" s="4" t="s">
        <v>15</v>
      </c>
      <c r="D168" s="4" t="s">
        <v>12</v>
      </c>
      <c r="E168" s="4" t="s">
        <v>16</v>
      </c>
      <c r="F168" s="6">
        <v>156</v>
      </c>
      <c r="G168" s="6">
        <v>1025</v>
      </c>
    </row>
    <row r="169" spans="1:7">
      <c r="A169" s="4">
        <v>63</v>
      </c>
      <c r="B169" s="4" t="s">
        <v>7</v>
      </c>
      <c r="C169" s="4" t="s">
        <v>15</v>
      </c>
      <c r="D169" s="4" t="s">
        <v>12</v>
      </c>
      <c r="E169" s="4" t="s">
        <v>16</v>
      </c>
      <c r="F169" s="4">
        <v>162</v>
      </c>
      <c r="G169" s="5">
        <v>1305</v>
      </c>
    </row>
    <row r="170" spans="1:7">
      <c r="A170" s="4">
        <v>71</v>
      </c>
      <c r="B170" s="4" t="s">
        <v>7</v>
      </c>
      <c r="C170" s="4" t="s">
        <v>15</v>
      </c>
      <c r="D170" s="6" t="s">
        <v>14</v>
      </c>
      <c r="E170" s="4" t="s">
        <v>16</v>
      </c>
      <c r="F170" s="6">
        <v>183</v>
      </c>
      <c r="G170" s="6">
        <v>460</v>
      </c>
    </row>
    <row r="171" spans="1:7">
      <c r="A171" s="4">
        <v>72</v>
      </c>
      <c r="B171" s="4" t="s">
        <v>7</v>
      </c>
      <c r="C171" s="4" t="s">
        <v>17</v>
      </c>
      <c r="D171" s="4" t="s">
        <v>12</v>
      </c>
      <c r="E171" s="4" t="s">
        <v>16</v>
      </c>
      <c r="F171" s="6">
        <v>189</v>
      </c>
      <c r="G171" s="6">
        <v>315</v>
      </c>
    </row>
    <row r="172" spans="1:7">
      <c r="A172" s="4">
        <v>73</v>
      </c>
      <c r="B172" s="4" t="s">
        <v>7</v>
      </c>
      <c r="C172" s="4" t="s">
        <v>15</v>
      </c>
      <c r="D172" s="4" t="s">
        <v>12</v>
      </c>
      <c r="E172" s="4" t="s">
        <v>16</v>
      </c>
      <c r="F172" s="4">
        <v>193</v>
      </c>
      <c r="G172" s="5">
        <v>734</v>
      </c>
    </row>
    <row r="173" spans="1:7">
      <c r="A173" s="4">
        <v>74</v>
      </c>
      <c r="B173" s="4" t="s">
        <v>7</v>
      </c>
      <c r="C173" s="4" t="s">
        <v>17</v>
      </c>
      <c r="D173" s="4" t="s">
        <v>12</v>
      </c>
      <c r="E173" s="4" t="s">
        <v>16</v>
      </c>
      <c r="F173" s="6">
        <v>195</v>
      </c>
      <c r="G173" s="6">
        <v>322</v>
      </c>
    </row>
    <row r="174" spans="1:7">
      <c r="A174" s="4">
        <v>80</v>
      </c>
      <c r="B174" s="4" t="s">
        <v>7</v>
      </c>
      <c r="C174" s="4" t="s">
        <v>15</v>
      </c>
      <c r="D174" s="4" t="s">
        <v>12</v>
      </c>
      <c r="E174" s="4" t="s">
        <v>16</v>
      </c>
      <c r="F174" s="4">
        <v>310</v>
      </c>
      <c r="G174" s="5">
        <v>933.7199999999998</v>
      </c>
    </row>
    <row r="176" spans="1:7">
      <c r="A176" t="s">
        <v>28</v>
      </c>
    </row>
    <row r="177" spans="1:7" ht="20">
      <c r="A177" s="13" t="s">
        <v>29</v>
      </c>
    </row>
    <row r="178" spans="1:7" ht="17">
      <c r="A178" s="14" t="s">
        <v>30</v>
      </c>
      <c r="B178" s="14" t="s">
        <v>6</v>
      </c>
      <c r="C178" s="14"/>
      <c r="D178" s="14"/>
      <c r="E178" s="14"/>
      <c r="F178" s="14"/>
    </row>
    <row r="179" spans="1:7" ht="17">
      <c r="A179" s="14">
        <v>39</v>
      </c>
      <c r="B179" s="14">
        <v>934</v>
      </c>
      <c r="C179" s="14"/>
      <c r="D179" s="14"/>
      <c r="E179" s="14"/>
      <c r="F179" s="14"/>
    </row>
    <row r="181" spans="1:7" ht="32">
      <c r="A181" s="1" t="s">
        <v>0</v>
      </c>
      <c r="B181" s="8" t="s">
        <v>1</v>
      </c>
      <c r="C181" s="7" t="s">
        <v>2</v>
      </c>
      <c r="D181" s="7" t="s">
        <v>3</v>
      </c>
      <c r="E181" s="9" t="s">
        <v>4</v>
      </c>
      <c r="F181" s="2" t="s">
        <v>5</v>
      </c>
      <c r="G181" s="2" t="s">
        <v>6</v>
      </c>
    </row>
    <row r="182" spans="1:7">
      <c r="A182" s="4">
        <v>3</v>
      </c>
      <c r="B182" s="4" t="s">
        <v>13</v>
      </c>
      <c r="C182" s="6" t="s">
        <v>8</v>
      </c>
      <c r="D182" s="6" t="s">
        <v>14</v>
      </c>
      <c r="E182" s="4" t="s">
        <v>10</v>
      </c>
      <c r="F182" s="6">
        <v>43</v>
      </c>
      <c r="G182" s="6">
        <v>150</v>
      </c>
    </row>
    <row r="183" spans="1:7">
      <c r="A183" s="4">
        <v>7</v>
      </c>
      <c r="B183" s="4" t="s">
        <v>7</v>
      </c>
      <c r="C183" s="4" t="s">
        <v>15</v>
      </c>
      <c r="D183" s="4" t="s">
        <v>12</v>
      </c>
      <c r="E183" s="4" t="s">
        <v>16</v>
      </c>
      <c r="F183" s="4">
        <v>52</v>
      </c>
      <c r="G183" s="5">
        <v>274.09199999999998</v>
      </c>
    </row>
    <row r="184" spans="1:7">
      <c r="A184" s="4">
        <v>8</v>
      </c>
      <c r="B184" s="4" t="s">
        <v>7</v>
      </c>
      <c r="C184" s="4" t="s">
        <v>15</v>
      </c>
      <c r="D184" s="4" t="s">
        <v>12</v>
      </c>
      <c r="E184" s="4" t="s">
        <v>16</v>
      </c>
      <c r="F184" s="4">
        <v>61</v>
      </c>
      <c r="G184" s="5">
        <v>336.84199999999998</v>
      </c>
    </row>
    <row r="185" spans="1:7">
      <c r="A185" s="4">
        <v>10</v>
      </c>
      <c r="B185" s="4" t="s">
        <v>7</v>
      </c>
      <c r="C185" s="4" t="s">
        <v>15</v>
      </c>
      <c r="D185" s="4" t="s">
        <v>12</v>
      </c>
      <c r="E185" s="4" t="s">
        <v>16</v>
      </c>
      <c r="F185" s="4">
        <v>68</v>
      </c>
      <c r="G185" s="5">
        <v>512.04</v>
      </c>
    </row>
    <row r="186" spans="1:7">
      <c r="A186" s="4">
        <v>12</v>
      </c>
      <c r="B186" s="4" t="s">
        <v>7</v>
      </c>
      <c r="C186" s="4" t="s">
        <v>15</v>
      </c>
      <c r="D186" s="4" t="s">
        <v>12</v>
      </c>
      <c r="E186" s="4" t="s">
        <v>16</v>
      </c>
      <c r="F186" s="4">
        <v>70</v>
      </c>
      <c r="G186" s="5">
        <v>379.512</v>
      </c>
    </row>
    <row r="187" spans="1:7">
      <c r="A187" s="4">
        <v>13</v>
      </c>
      <c r="B187" s="4" t="s">
        <v>7</v>
      </c>
      <c r="C187" s="4" t="s">
        <v>15</v>
      </c>
      <c r="D187" s="4" t="s">
        <v>12</v>
      </c>
      <c r="E187" s="4" t="s">
        <v>16</v>
      </c>
      <c r="F187" s="4">
        <v>72</v>
      </c>
      <c r="G187" s="5">
        <v>397.58399999999995</v>
      </c>
    </row>
    <row r="188" spans="1:7">
      <c r="A188" s="4">
        <v>14</v>
      </c>
      <c r="B188" s="4" t="s">
        <v>7</v>
      </c>
      <c r="C188" s="4" t="s">
        <v>15</v>
      </c>
      <c r="D188" s="4" t="s">
        <v>12</v>
      </c>
      <c r="E188" s="4" t="s">
        <v>16</v>
      </c>
      <c r="F188" s="4">
        <v>73</v>
      </c>
      <c r="G188" s="5">
        <v>659.62799999999993</v>
      </c>
    </row>
    <row r="189" spans="1:7">
      <c r="A189" s="4">
        <v>15</v>
      </c>
      <c r="B189" s="4" t="s">
        <v>7</v>
      </c>
      <c r="C189" s="4" t="s">
        <v>15</v>
      </c>
      <c r="D189" s="4" t="s">
        <v>12</v>
      </c>
      <c r="E189" s="4" t="s">
        <v>16</v>
      </c>
      <c r="F189" s="4">
        <v>74</v>
      </c>
      <c r="G189" s="5">
        <v>482.92399999999998</v>
      </c>
    </row>
    <row r="190" spans="1:7">
      <c r="A190" s="4">
        <v>17</v>
      </c>
      <c r="B190" s="4" t="s">
        <v>7</v>
      </c>
      <c r="C190" s="4" t="s">
        <v>17</v>
      </c>
      <c r="D190" s="6" t="s">
        <v>14</v>
      </c>
      <c r="E190" s="4" t="s">
        <v>16</v>
      </c>
      <c r="F190" s="6">
        <v>76</v>
      </c>
      <c r="G190" s="6">
        <v>1100</v>
      </c>
    </row>
    <row r="191" spans="1:7">
      <c r="A191" s="4">
        <v>19</v>
      </c>
      <c r="B191" s="4" t="s">
        <v>7</v>
      </c>
      <c r="C191" s="4" t="s">
        <v>15</v>
      </c>
      <c r="D191" s="4" t="s">
        <v>12</v>
      </c>
      <c r="E191" s="4" t="s">
        <v>16</v>
      </c>
      <c r="F191" s="4">
        <v>79</v>
      </c>
      <c r="G191" s="5">
        <v>475.89599999999996</v>
      </c>
    </row>
    <row r="192" spans="1:7">
      <c r="A192" s="4">
        <v>23</v>
      </c>
      <c r="B192" s="4" t="s">
        <v>7</v>
      </c>
      <c r="C192" s="4" t="s">
        <v>15</v>
      </c>
      <c r="D192" s="4" t="s">
        <v>12</v>
      </c>
      <c r="E192" s="4" t="s">
        <v>16</v>
      </c>
      <c r="F192" s="4">
        <v>81</v>
      </c>
      <c r="G192" s="5">
        <v>691.25399999999991</v>
      </c>
    </row>
    <row r="193" spans="1:7">
      <c r="A193" s="4">
        <v>24</v>
      </c>
      <c r="B193" s="4" t="s">
        <v>7</v>
      </c>
      <c r="C193" s="4" t="s">
        <v>15</v>
      </c>
      <c r="D193" s="4" t="s">
        <v>12</v>
      </c>
      <c r="E193" s="4" t="s">
        <v>16</v>
      </c>
      <c r="F193" s="4">
        <v>83</v>
      </c>
      <c r="G193" s="5">
        <v>466.6592</v>
      </c>
    </row>
    <row r="194" spans="1:7">
      <c r="A194" s="4">
        <v>26</v>
      </c>
      <c r="B194" s="4" t="s">
        <v>7</v>
      </c>
      <c r="C194" s="4" t="s">
        <v>15</v>
      </c>
      <c r="D194" s="4" t="s">
        <v>12</v>
      </c>
      <c r="E194" s="4" t="s">
        <v>16</v>
      </c>
      <c r="F194" s="4">
        <v>84</v>
      </c>
      <c r="G194" s="5">
        <v>421.67999999999995</v>
      </c>
    </row>
    <row r="195" spans="1:7">
      <c r="A195" s="4">
        <v>27</v>
      </c>
      <c r="B195" s="4" t="s">
        <v>7</v>
      </c>
      <c r="C195" s="4" t="s">
        <v>15</v>
      </c>
      <c r="D195" s="4" t="s">
        <v>12</v>
      </c>
      <c r="E195" s="4" t="s">
        <v>16</v>
      </c>
      <c r="F195" s="4">
        <v>85</v>
      </c>
      <c r="G195" s="5">
        <v>725.39</v>
      </c>
    </row>
    <row r="196" spans="1:7">
      <c r="A196" s="4">
        <v>30</v>
      </c>
      <c r="B196" s="4" t="s">
        <v>7</v>
      </c>
      <c r="C196" s="4" t="s">
        <v>15</v>
      </c>
      <c r="D196" s="4" t="s">
        <v>12</v>
      </c>
      <c r="E196" s="4" t="s">
        <v>16</v>
      </c>
      <c r="F196" s="4">
        <v>90</v>
      </c>
      <c r="G196" s="5">
        <v>406.61999999999995</v>
      </c>
    </row>
    <row r="197" spans="1:7">
      <c r="A197" s="4">
        <v>32</v>
      </c>
      <c r="B197" s="4" t="s">
        <v>7</v>
      </c>
      <c r="C197" s="4" t="s">
        <v>15</v>
      </c>
      <c r="D197" s="4" t="s">
        <v>12</v>
      </c>
      <c r="E197" s="4" t="s">
        <v>16</v>
      </c>
      <c r="F197" s="4">
        <v>92</v>
      </c>
      <c r="G197" s="5">
        <v>831.31200000000001</v>
      </c>
    </row>
    <row r="198" spans="1:7">
      <c r="A198" s="4">
        <v>33</v>
      </c>
      <c r="B198" s="4" t="s">
        <v>7</v>
      </c>
      <c r="C198" s="4" t="s">
        <v>15</v>
      </c>
      <c r="D198" s="4" t="s">
        <v>12</v>
      </c>
      <c r="E198" s="4" t="s">
        <v>16</v>
      </c>
      <c r="F198" s="4">
        <v>100</v>
      </c>
      <c r="G198" s="5">
        <v>702.79999999999984</v>
      </c>
    </row>
    <row r="199" spans="1:7">
      <c r="A199" s="4">
        <v>35</v>
      </c>
      <c r="B199" s="4" t="s">
        <v>7</v>
      </c>
      <c r="C199" s="4" t="s">
        <v>15</v>
      </c>
      <c r="D199" s="4" t="s">
        <v>12</v>
      </c>
      <c r="E199" s="4" t="s">
        <v>16</v>
      </c>
      <c r="F199" s="4">
        <v>102</v>
      </c>
      <c r="G199" s="5">
        <v>921.67199999999991</v>
      </c>
    </row>
    <row r="200" spans="1:7">
      <c r="A200" s="4">
        <v>37</v>
      </c>
      <c r="B200" s="4" t="s">
        <v>7</v>
      </c>
      <c r="C200" s="4" t="s">
        <v>15</v>
      </c>
      <c r="D200" s="4" t="s">
        <v>12</v>
      </c>
      <c r="E200" s="4" t="s">
        <v>16</v>
      </c>
      <c r="F200" s="4">
        <v>108</v>
      </c>
      <c r="G200" s="5">
        <v>650.59199999999998</v>
      </c>
    </row>
    <row r="201" spans="1:7">
      <c r="A201" s="4">
        <v>38</v>
      </c>
      <c r="B201" s="4" t="s">
        <v>7</v>
      </c>
      <c r="C201" s="4" t="s">
        <v>17</v>
      </c>
      <c r="D201" s="6" t="s">
        <v>14</v>
      </c>
      <c r="E201" s="4" t="s">
        <v>16</v>
      </c>
      <c r="F201" s="6">
        <v>108</v>
      </c>
      <c r="G201" s="6">
        <v>1276</v>
      </c>
    </row>
    <row r="202" spans="1:7">
      <c r="A202" s="4">
        <v>39</v>
      </c>
      <c r="B202" s="4" t="s">
        <v>7</v>
      </c>
      <c r="C202" s="4" t="s">
        <v>17</v>
      </c>
      <c r="D202" s="4" t="s">
        <v>12</v>
      </c>
      <c r="E202" s="4" t="s">
        <v>16</v>
      </c>
      <c r="F202" s="6">
        <v>110</v>
      </c>
      <c r="G202" s="6">
        <v>884</v>
      </c>
    </row>
    <row r="203" spans="1:7">
      <c r="A203" s="4">
        <v>40</v>
      </c>
      <c r="B203" s="4" t="s">
        <v>7</v>
      </c>
      <c r="C203" s="4" t="s">
        <v>15</v>
      </c>
      <c r="D203" s="4" t="s">
        <v>12</v>
      </c>
      <c r="E203" s="4" t="s">
        <v>16</v>
      </c>
      <c r="F203" s="4">
        <v>114</v>
      </c>
      <c r="G203" s="5">
        <v>502</v>
      </c>
    </row>
    <row r="204" spans="1:7">
      <c r="A204" s="4">
        <v>43</v>
      </c>
      <c r="B204" s="4" t="s">
        <v>7</v>
      </c>
      <c r="C204" s="4" t="s">
        <v>15</v>
      </c>
      <c r="D204" s="4" t="s">
        <v>12</v>
      </c>
      <c r="E204" s="4" t="s">
        <v>16</v>
      </c>
      <c r="F204" s="4">
        <v>115</v>
      </c>
      <c r="G204" s="5">
        <v>692.75999999999988</v>
      </c>
    </row>
    <row r="205" spans="1:7">
      <c r="A205" s="4">
        <v>45</v>
      </c>
      <c r="B205" s="4" t="s">
        <v>7</v>
      </c>
      <c r="C205" s="4" t="s">
        <v>15</v>
      </c>
      <c r="D205" s="4" t="s">
        <v>12</v>
      </c>
      <c r="E205" s="4" t="s">
        <v>16</v>
      </c>
      <c r="F205" s="4">
        <v>117</v>
      </c>
      <c r="G205" s="5">
        <v>728.30159999999989</v>
      </c>
    </row>
    <row r="206" spans="1:7">
      <c r="A206" s="4">
        <v>46</v>
      </c>
      <c r="B206" s="4" t="s">
        <v>7</v>
      </c>
      <c r="C206" s="4" t="s">
        <v>15</v>
      </c>
      <c r="D206" s="4" t="s">
        <v>12</v>
      </c>
      <c r="E206" s="4" t="s">
        <v>16</v>
      </c>
      <c r="F206" s="4">
        <v>117</v>
      </c>
      <c r="G206" s="5">
        <v>998.47799999999984</v>
      </c>
    </row>
    <row r="207" spans="1:7">
      <c r="A207" s="4">
        <v>48</v>
      </c>
      <c r="B207" s="4" t="s">
        <v>7</v>
      </c>
      <c r="C207" s="4" t="s">
        <v>17</v>
      </c>
      <c r="D207" s="4" t="s">
        <v>12</v>
      </c>
      <c r="E207" s="4" t="s">
        <v>16</v>
      </c>
      <c r="F207" s="6">
        <v>122</v>
      </c>
      <c r="G207" s="6">
        <v>1045</v>
      </c>
    </row>
    <row r="208" spans="1:7">
      <c r="A208" s="4">
        <v>49</v>
      </c>
      <c r="B208" s="4" t="s">
        <v>7</v>
      </c>
      <c r="C208" s="4" t="s">
        <v>15</v>
      </c>
      <c r="D208" s="4" t="s">
        <v>12</v>
      </c>
      <c r="E208" s="4" t="s">
        <v>16</v>
      </c>
      <c r="F208" s="4">
        <v>125</v>
      </c>
      <c r="G208" s="5">
        <v>1004</v>
      </c>
    </row>
    <row r="209" spans="1:8">
      <c r="A209" s="4">
        <v>51</v>
      </c>
      <c r="B209" s="4" t="s">
        <v>7</v>
      </c>
      <c r="C209" s="4" t="s">
        <v>15</v>
      </c>
      <c r="D209" s="4" t="s">
        <v>12</v>
      </c>
      <c r="E209" s="4" t="s">
        <v>16</v>
      </c>
      <c r="F209" s="4">
        <v>127</v>
      </c>
      <c r="G209" s="5">
        <v>1020.064</v>
      </c>
    </row>
    <row r="210" spans="1:8">
      <c r="A210" s="4">
        <v>52</v>
      </c>
      <c r="B210" s="4" t="s">
        <v>7</v>
      </c>
      <c r="C210" s="4" t="s">
        <v>15</v>
      </c>
      <c r="D210" s="4" t="s">
        <v>12</v>
      </c>
      <c r="E210" s="4" t="s">
        <v>16</v>
      </c>
      <c r="F210" s="6">
        <v>135</v>
      </c>
      <c r="G210" s="6">
        <v>1053</v>
      </c>
    </row>
    <row r="211" spans="1:8">
      <c r="A211" s="4">
        <v>54</v>
      </c>
      <c r="B211" s="4" t="s">
        <v>7</v>
      </c>
      <c r="C211" s="4" t="s">
        <v>15</v>
      </c>
      <c r="D211" s="4" t="s">
        <v>12</v>
      </c>
      <c r="E211" s="4" t="s">
        <v>16</v>
      </c>
      <c r="F211" s="4">
        <v>136</v>
      </c>
      <c r="G211" s="5">
        <v>1024.08</v>
      </c>
    </row>
    <row r="212" spans="1:8">
      <c r="A212" s="4">
        <v>55</v>
      </c>
      <c r="B212" s="4" t="s">
        <v>7</v>
      </c>
      <c r="C212" s="4" t="s">
        <v>15</v>
      </c>
      <c r="D212" s="4" t="s">
        <v>12</v>
      </c>
      <c r="E212" s="4" t="s">
        <v>16</v>
      </c>
      <c r="F212" s="4">
        <v>143</v>
      </c>
      <c r="G212" s="5">
        <v>861.4319999999999</v>
      </c>
    </row>
    <row r="213" spans="1:8">
      <c r="A213" s="4">
        <v>59</v>
      </c>
      <c r="B213" s="4" t="s">
        <v>7</v>
      </c>
      <c r="C213" s="4" t="s">
        <v>15</v>
      </c>
      <c r="D213" s="4" t="s">
        <v>12</v>
      </c>
      <c r="E213" s="4" t="s">
        <v>16</v>
      </c>
      <c r="F213" s="4">
        <v>153</v>
      </c>
      <c r="G213" s="5">
        <v>1228.896</v>
      </c>
    </row>
    <row r="214" spans="1:8">
      <c r="A214" s="4">
        <v>60</v>
      </c>
      <c r="B214" s="4" t="s">
        <v>7</v>
      </c>
      <c r="C214" s="4" t="s">
        <v>15</v>
      </c>
      <c r="D214" s="4" t="s">
        <v>12</v>
      </c>
      <c r="E214" s="4" t="s">
        <v>16</v>
      </c>
      <c r="F214" s="6">
        <v>156</v>
      </c>
      <c r="G214" s="6">
        <v>1025</v>
      </c>
    </row>
    <row r="215" spans="1:8">
      <c r="A215" s="4">
        <v>63</v>
      </c>
      <c r="B215" s="4" t="s">
        <v>7</v>
      </c>
      <c r="C215" s="4" t="s">
        <v>15</v>
      </c>
      <c r="D215" s="4" t="s">
        <v>12</v>
      </c>
      <c r="E215" s="4" t="s">
        <v>16</v>
      </c>
      <c r="F215" s="4">
        <v>162</v>
      </c>
      <c r="G215" s="5">
        <v>1305</v>
      </c>
    </row>
    <row r="216" spans="1:8">
      <c r="A216" s="4">
        <v>71</v>
      </c>
      <c r="B216" s="4" t="s">
        <v>7</v>
      </c>
      <c r="C216" s="4" t="s">
        <v>15</v>
      </c>
      <c r="D216" s="6" t="s">
        <v>14</v>
      </c>
      <c r="E216" s="4" t="s">
        <v>16</v>
      </c>
      <c r="F216" s="6">
        <v>183</v>
      </c>
      <c r="G216" s="6">
        <v>460</v>
      </c>
    </row>
    <row r="217" spans="1:8">
      <c r="A217" s="4">
        <v>72</v>
      </c>
      <c r="B217" s="4" t="s">
        <v>7</v>
      </c>
      <c r="C217" s="4" t="s">
        <v>17</v>
      </c>
      <c r="D217" s="4" t="s">
        <v>12</v>
      </c>
      <c r="E217" s="4" t="s">
        <v>16</v>
      </c>
      <c r="F217" s="6">
        <v>189</v>
      </c>
      <c r="G217" s="6">
        <v>315</v>
      </c>
    </row>
    <row r="218" spans="1:8">
      <c r="A218" s="4">
        <v>73</v>
      </c>
      <c r="B218" s="4" t="s">
        <v>7</v>
      </c>
      <c r="C218" s="4" t="s">
        <v>15</v>
      </c>
      <c r="D218" s="4" t="s">
        <v>12</v>
      </c>
      <c r="E218" s="4" t="s">
        <v>16</v>
      </c>
      <c r="F218" s="4">
        <v>193</v>
      </c>
      <c r="G218" s="5">
        <v>734</v>
      </c>
    </row>
    <row r="219" spans="1:8">
      <c r="A219" s="4">
        <v>74</v>
      </c>
      <c r="B219" s="4" t="s">
        <v>7</v>
      </c>
      <c r="C219" s="4" t="s">
        <v>17</v>
      </c>
      <c r="D219" s="4" t="s">
        <v>12</v>
      </c>
      <c r="E219" s="4" t="s">
        <v>16</v>
      </c>
      <c r="F219" s="6">
        <v>195</v>
      </c>
      <c r="G219" s="6">
        <v>322</v>
      </c>
    </row>
    <row r="220" spans="1:8">
      <c r="A220" s="4">
        <v>80</v>
      </c>
      <c r="B220" s="4" t="s">
        <v>7</v>
      </c>
      <c r="C220" s="4" t="s">
        <v>15</v>
      </c>
      <c r="D220" s="4" t="s">
        <v>12</v>
      </c>
      <c r="E220" s="4" t="s">
        <v>16</v>
      </c>
      <c r="F220" s="4">
        <v>310</v>
      </c>
      <c r="G220" s="5">
        <v>933.7199999999998</v>
      </c>
      <c r="H220" s="21" t="s">
        <v>31</v>
      </c>
    </row>
    <row r="223" spans="1:8" ht="32">
      <c r="A223" s="1" t="s">
        <v>0</v>
      </c>
      <c r="B223" s="8" t="s">
        <v>1</v>
      </c>
      <c r="C223" s="7" t="s">
        <v>2</v>
      </c>
      <c r="D223" s="7" t="s">
        <v>3</v>
      </c>
      <c r="E223" s="9" t="s">
        <v>4</v>
      </c>
      <c r="F223" s="2" t="s">
        <v>5</v>
      </c>
      <c r="G223" s="2" t="s">
        <v>6</v>
      </c>
    </row>
    <row r="224" spans="1:8">
      <c r="A224" s="4">
        <v>3</v>
      </c>
      <c r="B224" s="4" t="s">
        <v>13</v>
      </c>
      <c r="C224" s="6" t="s">
        <v>8</v>
      </c>
      <c r="D224" s="6" t="s">
        <v>14</v>
      </c>
      <c r="E224" s="4" t="s">
        <v>10</v>
      </c>
      <c r="F224" s="6">
        <v>43</v>
      </c>
      <c r="G224" s="6">
        <v>150</v>
      </c>
    </row>
    <row r="225" spans="1:7">
      <c r="A225" s="4">
        <v>7</v>
      </c>
      <c r="B225" s="4" t="s">
        <v>7</v>
      </c>
      <c r="C225" s="4" t="s">
        <v>15</v>
      </c>
      <c r="D225" s="4" t="s">
        <v>12</v>
      </c>
      <c r="E225" s="4" t="s">
        <v>16</v>
      </c>
      <c r="F225" s="4">
        <v>52</v>
      </c>
      <c r="G225" s="5">
        <v>274.09199999999998</v>
      </c>
    </row>
    <row r="226" spans="1:7">
      <c r="A226" s="4">
        <v>8</v>
      </c>
      <c r="B226" s="4" t="s">
        <v>7</v>
      </c>
      <c r="C226" s="4" t="s">
        <v>15</v>
      </c>
      <c r="D226" s="4" t="s">
        <v>12</v>
      </c>
      <c r="E226" s="4" t="s">
        <v>16</v>
      </c>
      <c r="F226" s="4">
        <v>61</v>
      </c>
      <c r="G226" s="5">
        <v>336.84199999999998</v>
      </c>
    </row>
    <row r="227" spans="1:7">
      <c r="A227" s="4">
        <v>10</v>
      </c>
      <c r="B227" s="4" t="s">
        <v>7</v>
      </c>
      <c r="C227" s="4" t="s">
        <v>15</v>
      </c>
      <c r="D227" s="4" t="s">
        <v>12</v>
      </c>
      <c r="E227" s="4" t="s">
        <v>16</v>
      </c>
      <c r="F227" s="4">
        <v>68</v>
      </c>
      <c r="G227" s="5">
        <v>512.04</v>
      </c>
    </row>
    <row r="228" spans="1:7">
      <c r="A228" s="4">
        <v>12</v>
      </c>
      <c r="B228" s="4" t="s">
        <v>7</v>
      </c>
      <c r="C228" s="4" t="s">
        <v>15</v>
      </c>
      <c r="D228" s="4" t="s">
        <v>12</v>
      </c>
      <c r="E228" s="4" t="s">
        <v>16</v>
      </c>
      <c r="F228" s="4">
        <v>70</v>
      </c>
      <c r="G228" s="5">
        <v>379.512</v>
      </c>
    </row>
    <row r="229" spans="1:7">
      <c r="A229" s="4">
        <v>13</v>
      </c>
      <c r="B229" s="4" t="s">
        <v>7</v>
      </c>
      <c r="C229" s="4" t="s">
        <v>15</v>
      </c>
      <c r="D229" s="4" t="s">
        <v>12</v>
      </c>
      <c r="E229" s="4" t="s">
        <v>16</v>
      </c>
      <c r="F229" s="4">
        <v>72</v>
      </c>
      <c r="G229" s="5">
        <v>397.58399999999995</v>
      </c>
    </row>
    <row r="230" spans="1:7">
      <c r="A230" s="4">
        <v>14</v>
      </c>
      <c r="B230" s="4" t="s">
        <v>7</v>
      </c>
      <c r="C230" s="4" t="s">
        <v>15</v>
      </c>
      <c r="D230" s="4" t="s">
        <v>12</v>
      </c>
      <c r="E230" s="4" t="s">
        <v>16</v>
      </c>
      <c r="F230" s="4">
        <v>73</v>
      </c>
      <c r="G230" s="5">
        <v>659.62799999999993</v>
      </c>
    </row>
    <row r="231" spans="1:7">
      <c r="A231" s="4">
        <v>15</v>
      </c>
      <c r="B231" s="4" t="s">
        <v>7</v>
      </c>
      <c r="C231" s="4" t="s">
        <v>15</v>
      </c>
      <c r="D231" s="4" t="s">
        <v>12</v>
      </c>
      <c r="E231" s="4" t="s">
        <v>16</v>
      </c>
      <c r="F231" s="4">
        <v>74</v>
      </c>
      <c r="G231" s="5">
        <v>482.92399999999998</v>
      </c>
    </row>
    <row r="232" spans="1:7">
      <c r="A232" s="4">
        <v>17</v>
      </c>
      <c r="B232" s="4" t="s">
        <v>7</v>
      </c>
      <c r="C232" s="4" t="s">
        <v>17</v>
      </c>
      <c r="D232" s="6" t="s">
        <v>14</v>
      </c>
      <c r="E232" s="4" t="s">
        <v>16</v>
      </c>
      <c r="F232" s="6">
        <v>76</v>
      </c>
      <c r="G232" s="6">
        <v>1100</v>
      </c>
    </row>
    <row r="233" spans="1:7">
      <c r="A233" s="4">
        <v>19</v>
      </c>
      <c r="B233" s="4" t="s">
        <v>7</v>
      </c>
      <c r="C233" s="4" t="s">
        <v>15</v>
      </c>
      <c r="D233" s="4" t="s">
        <v>12</v>
      </c>
      <c r="E233" s="4" t="s">
        <v>16</v>
      </c>
      <c r="F233" s="4">
        <v>79</v>
      </c>
      <c r="G233" s="5">
        <v>475.89599999999996</v>
      </c>
    </row>
    <row r="234" spans="1:7">
      <c r="A234" s="4">
        <v>23</v>
      </c>
      <c r="B234" s="4" t="s">
        <v>7</v>
      </c>
      <c r="C234" s="4" t="s">
        <v>15</v>
      </c>
      <c r="D234" s="4" t="s">
        <v>12</v>
      </c>
      <c r="E234" s="4" t="s">
        <v>16</v>
      </c>
      <c r="F234" s="4">
        <v>81</v>
      </c>
      <c r="G234" s="5">
        <v>691.25399999999991</v>
      </c>
    </row>
    <row r="235" spans="1:7">
      <c r="A235" s="4">
        <v>24</v>
      </c>
      <c r="B235" s="4" t="s">
        <v>7</v>
      </c>
      <c r="C235" s="4" t="s">
        <v>15</v>
      </c>
      <c r="D235" s="4" t="s">
        <v>12</v>
      </c>
      <c r="E235" s="4" t="s">
        <v>16</v>
      </c>
      <c r="F235" s="4">
        <v>83</v>
      </c>
      <c r="G235" s="5">
        <v>466.6592</v>
      </c>
    </row>
    <row r="236" spans="1:7">
      <c r="A236" s="4">
        <v>26</v>
      </c>
      <c r="B236" s="4" t="s">
        <v>7</v>
      </c>
      <c r="C236" s="4" t="s">
        <v>15</v>
      </c>
      <c r="D236" s="4" t="s">
        <v>12</v>
      </c>
      <c r="E236" s="4" t="s">
        <v>16</v>
      </c>
      <c r="F236" s="4">
        <v>84</v>
      </c>
      <c r="G236" s="5">
        <v>421.67999999999995</v>
      </c>
    </row>
    <row r="237" spans="1:7">
      <c r="A237" s="4">
        <v>27</v>
      </c>
      <c r="B237" s="4" t="s">
        <v>7</v>
      </c>
      <c r="C237" s="4" t="s">
        <v>15</v>
      </c>
      <c r="D237" s="4" t="s">
        <v>12</v>
      </c>
      <c r="E237" s="4" t="s">
        <v>16</v>
      </c>
      <c r="F237" s="4">
        <v>85</v>
      </c>
      <c r="G237" s="5">
        <v>725.39</v>
      </c>
    </row>
    <row r="238" spans="1:7">
      <c r="A238" s="4">
        <v>30</v>
      </c>
      <c r="B238" s="4" t="s">
        <v>7</v>
      </c>
      <c r="C238" s="4" t="s">
        <v>15</v>
      </c>
      <c r="D238" s="4" t="s">
        <v>12</v>
      </c>
      <c r="E238" s="4" t="s">
        <v>16</v>
      </c>
      <c r="F238" s="4">
        <v>90</v>
      </c>
      <c r="G238" s="5">
        <v>406.61999999999995</v>
      </c>
    </row>
    <row r="239" spans="1:7">
      <c r="A239" s="4">
        <v>32</v>
      </c>
      <c r="B239" s="4" t="s">
        <v>7</v>
      </c>
      <c r="C239" s="4" t="s">
        <v>15</v>
      </c>
      <c r="D239" s="4" t="s">
        <v>12</v>
      </c>
      <c r="E239" s="4" t="s">
        <v>16</v>
      </c>
      <c r="F239" s="4">
        <v>92</v>
      </c>
      <c r="G239" s="5">
        <v>831.31200000000001</v>
      </c>
    </row>
    <row r="240" spans="1:7">
      <c r="A240" s="4">
        <v>33</v>
      </c>
      <c r="B240" s="4" t="s">
        <v>7</v>
      </c>
      <c r="C240" s="4" t="s">
        <v>15</v>
      </c>
      <c r="D240" s="4" t="s">
        <v>12</v>
      </c>
      <c r="E240" s="4" t="s">
        <v>16</v>
      </c>
      <c r="F240" s="4">
        <v>100</v>
      </c>
      <c r="G240" s="5">
        <v>702.79999999999984</v>
      </c>
    </row>
    <row r="241" spans="1:7">
      <c r="A241" s="4">
        <v>35</v>
      </c>
      <c r="B241" s="4" t="s">
        <v>7</v>
      </c>
      <c r="C241" s="4" t="s">
        <v>15</v>
      </c>
      <c r="D241" s="4" t="s">
        <v>12</v>
      </c>
      <c r="E241" s="4" t="s">
        <v>16</v>
      </c>
      <c r="F241" s="4">
        <v>102</v>
      </c>
      <c r="G241" s="5">
        <v>921.67199999999991</v>
      </c>
    </row>
    <row r="242" spans="1:7">
      <c r="A242" s="4">
        <v>37</v>
      </c>
      <c r="B242" s="4" t="s">
        <v>7</v>
      </c>
      <c r="C242" s="4" t="s">
        <v>15</v>
      </c>
      <c r="D242" s="4" t="s">
        <v>12</v>
      </c>
      <c r="E242" s="4" t="s">
        <v>16</v>
      </c>
      <c r="F242" s="4">
        <v>108</v>
      </c>
      <c r="G242" s="5">
        <v>650.59199999999998</v>
      </c>
    </row>
    <row r="243" spans="1:7">
      <c r="A243" s="4">
        <v>38</v>
      </c>
      <c r="B243" s="4" t="s">
        <v>7</v>
      </c>
      <c r="C243" s="4" t="s">
        <v>17</v>
      </c>
      <c r="D243" s="6" t="s">
        <v>14</v>
      </c>
      <c r="E243" s="4" t="s">
        <v>16</v>
      </c>
      <c r="F243" s="6">
        <v>108</v>
      </c>
      <c r="G243" s="6">
        <v>1276</v>
      </c>
    </row>
    <row r="244" spans="1:7">
      <c r="A244" s="4">
        <v>39</v>
      </c>
      <c r="B244" s="4" t="s">
        <v>7</v>
      </c>
      <c r="C244" s="4" t="s">
        <v>17</v>
      </c>
      <c r="D244" s="4" t="s">
        <v>12</v>
      </c>
      <c r="E244" s="4" t="s">
        <v>16</v>
      </c>
      <c r="F244" s="6">
        <v>110</v>
      </c>
      <c r="G244" s="6">
        <v>884</v>
      </c>
    </row>
    <row r="245" spans="1:7">
      <c r="A245" s="4">
        <v>40</v>
      </c>
      <c r="B245" s="4" t="s">
        <v>7</v>
      </c>
      <c r="C245" s="4" t="s">
        <v>15</v>
      </c>
      <c r="D245" s="4" t="s">
        <v>12</v>
      </c>
      <c r="E245" s="4" t="s">
        <v>16</v>
      </c>
      <c r="F245" s="4">
        <v>114</v>
      </c>
      <c r="G245" s="5">
        <v>502</v>
      </c>
    </row>
    <row r="246" spans="1:7">
      <c r="A246" s="4">
        <v>43</v>
      </c>
      <c r="B246" s="4" t="s">
        <v>7</v>
      </c>
      <c r="C246" s="4" t="s">
        <v>15</v>
      </c>
      <c r="D246" s="4" t="s">
        <v>12</v>
      </c>
      <c r="E246" s="4" t="s">
        <v>16</v>
      </c>
      <c r="F246" s="4">
        <v>115</v>
      </c>
      <c r="G246" s="5">
        <v>692.75999999999988</v>
      </c>
    </row>
    <row r="247" spans="1:7">
      <c r="A247" s="4">
        <v>45</v>
      </c>
      <c r="B247" s="4" t="s">
        <v>7</v>
      </c>
      <c r="C247" s="4" t="s">
        <v>15</v>
      </c>
      <c r="D247" s="4" t="s">
        <v>12</v>
      </c>
      <c r="E247" s="4" t="s">
        <v>16</v>
      </c>
      <c r="F247" s="4">
        <v>117</v>
      </c>
      <c r="G247" s="5">
        <v>728.30159999999989</v>
      </c>
    </row>
    <row r="248" spans="1:7">
      <c r="A248" s="4">
        <v>46</v>
      </c>
      <c r="B248" s="4" t="s">
        <v>7</v>
      </c>
      <c r="C248" s="4" t="s">
        <v>15</v>
      </c>
      <c r="D248" s="4" t="s">
        <v>12</v>
      </c>
      <c r="E248" s="4" t="s">
        <v>16</v>
      </c>
      <c r="F248" s="4">
        <v>117</v>
      </c>
      <c r="G248" s="5">
        <v>998.47799999999984</v>
      </c>
    </row>
    <row r="249" spans="1:7">
      <c r="A249" s="4">
        <v>48</v>
      </c>
      <c r="B249" s="4" t="s">
        <v>7</v>
      </c>
      <c r="C249" s="4" t="s">
        <v>17</v>
      </c>
      <c r="D249" s="4" t="s">
        <v>12</v>
      </c>
      <c r="E249" s="4" t="s">
        <v>16</v>
      </c>
      <c r="F249" s="6">
        <v>122</v>
      </c>
      <c r="G249" s="6">
        <v>1045</v>
      </c>
    </row>
    <row r="250" spans="1:7">
      <c r="A250" s="4">
        <v>49</v>
      </c>
      <c r="B250" s="4" t="s">
        <v>7</v>
      </c>
      <c r="C250" s="4" t="s">
        <v>15</v>
      </c>
      <c r="D250" s="4" t="s">
        <v>12</v>
      </c>
      <c r="E250" s="4" t="s">
        <v>16</v>
      </c>
      <c r="F250" s="4">
        <v>125</v>
      </c>
      <c r="G250" s="5">
        <v>1004</v>
      </c>
    </row>
    <row r="251" spans="1:7">
      <c r="A251" s="4">
        <v>51</v>
      </c>
      <c r="B251" s="4" t="s">
        <v>7</v>
      </c>
      <c r="C251" s="4" t="s">
        <v>15</v>
      </c>
      <c r="D251" s="4" t="s">
        <v>12</v>
      </c>
      <c r="E251" s="4" t="s">
        <v>16</v>
      </c>
      <c r="F251" s="4">
        <v>127</v>
      </c>
      <c r="G251" s="5">
        <v>1020.064</v>
      </c>
    </row>
    <row r="252" spans="1:7">
      <c r="A252" s="4">
        <v>52</v>
      </c>
      <c r="B252" s="4" t="s">
        <v>7</v>
      </c>
      <c r="C252" s="4" t="s">
        <v>15</v>
      </c>
      <c r="D252" s="4" t="s">
        <v>12</v>
      </c>
      <c r="E252" s="4" t="s">
        <v>16</v>
      </c>
      <c r="F252" s="6">
        <v>135</v>
      </c>
      <c r="G252" s="6">
        <v>1053</v>
      </c>
    </row>
    <row r="253" spans="1:7">
      <c r="A253" s="4">
        <v>54</v>
      </c>
      <c r="B253" s="4" t="s">
        <v>7</v>
      </c>
      <c r="C253" s="4" t="s">
        <v>15</v>
      </c>
      <c r="D253" s="4" t="s">
        <v>12</v>
      </c>
      <c r="E253" s="4" t="s">
        <v>16</v>
      </c>
      <c r="F253" s="4">
        <v>136</v>
      </c>
      <c r="G253" s="5">
        <v>1024.08</v>
      </c>
    </row>
    <row r="254" spans="1:7">
      <c r="A254" s="4">
        <v>55</v>
      </c>
      <c r="B254" s="4" t="s">
        <v>7</v>
      </c>
      <c r="C254" s="4" t="s">
        <v>15</v>
      </c>
      <c r="D254" s="4" t="s">
        <v>12</v>
      </c>
      <c r="E254" s="4" t="s">
        <v>16</v>
      </c>
      <c r="F254" s="4">
        <v>143</v>
      </c>
      <c r="G254" s="5">
        <v>861.4319999999999</v>
      </c>
    </row>
    <row r="255" spans="1:7">
      <c r="A255" s="4">
        <v>59</v>
      </c>
      <c r="B255" s="4" t="s">
        <v>7</v>
      </c>
      <c r="C255" s="4" t="s">
        <v>15</v>
      </c>
      <c r="D255" s="4" t="s">
        <v>12</v>
      </c>
      <c r="E255" s="4" t="s">
        <v>16</v>
      </c>
      <c r="F255" s="4">
        <v>153</v>
      </c>
      <c r="G255" s="5">
        <v>1228.896</v>
      </c>
    </row>
    <row r="256" spans="1:7">
      <c r="A256" s="4">
        <v>60</v>
      </c>
      <c r="B256" s="4" t="s">
        <v>7</v>
      </c>
      <c r="C256" s="4" t="s">
        <v>15</v>
      </c>
      <c r="D256" s="4" t="s">
        <v>12</v>
      </c>
      <c r="E256" s="4" t="s">
        <v>16</v>
      </c>
      <c r="F256" s="6">
        <v>156</v>
      </c>
      <c r="G256" s="6">
        <v>1025</v>
      </c>
    </row>
    <row r="257" spans="1:7">
      <c r="A257" s="4">
        <v>63</v>
      </c>
      <c r="B257" s="4" t="s">
        <v>7</v>
      </c>
      <c r="C257" s="4" t="s">
        <v>15</v>
      </c>
      <c r="D257" s="4" t="s">
        <v>12</v>
      </c>
      <c r="E257" s="4" t="s">
        <v>16</v>
      </c>
      <c r="F257" s="4">
        <v>162</v>
      </c>
      <c r="G257" s="5">
        <v>1305</v>
      </c>
    </row>
    <row r="258" spans="1:7">
      <c r="A258" s="4">
        <v>71</v>
      </c>
      <c r="B258" s="4" t="s">
        <v>7</v>
      </c>
      <c r="C258" s="4" t="s">
        <v>15</v>
      </c>
      <c r="D258" s="6" t="s">
        <v>14</v>
      </c>
      <c r="E258" s="4" t="s">
        <v>16</v>
      </c>
      <c r="F258" s="6">
        <v>183</v>
      </c>
      <c r="G258" s="6">
        <v>460</v>
      </c>
    </row>
    <row r="259" spans="1:7">
      <c r="A259" s="4">
        <v>72</v>
      </c>
      <c r="B259" s="4" t="s">
        <v>7</v>
      </c>
      <c r="C259" s="4" t="s">
        <v>17</v>
      </c>
      <c r="D259" s="4" t="s">
        <v>12</v>
      </c>
      <c r="E259" s="4" t="s">
        <v>16</v>
      </c>
      <c r="F259" s="6">
        <v>189</v>
      </c>
      <c r="G259" s="6">
        <v>315</v>
      </c>
    </row>
    <row r="260" spans="1:7">
      <c r="A260" s="4">
        <v>73</v>
      </c>
      <c r="B260" s="4" t="s">
        <v>7</v>
      </c>
      <c r="C260" s="4" t="s">
        <v>15</v>
      </c>
      <c r="D260" s="4" t="s">
        <v>12</v>
      </c>
      <c r="E260" s="4" t="s">
        <v>16</v>
      </c>
      <c r="F260" s="4">
        <v>193</v>
      </c>
      <c r="G260" s="5">
        <v>734</v>
      </c>
    </row>
    <row r="261" spans="1:7">
      <c r="A261" s="4">
        <v>74</v>
      </c>
      <c r="B261" s="4" t="s">
        <v>7</v>
      </c>
      <c r="C261" s="4" t="s">
        <v>17</v>
      </c>
      <c r="D261" s="4" t="s">
        <v>12</v>
      </c>
      <c r="E261" s="4" t="s">
        <v>16</v>
      </c>
      <c r="F261" s="6">
        <v>195</v>
      </c>
      <c r="G261" s="6">
        <v>322</v>
      </c>
    </row>
    <row r="263" spans="1:7">
      <c r="A263" t="s">
        <v>28</v>
      </c>
    </row>
    <row r="264" spans="1:7" ht="20">
      <c r="A264" s="13" t="s">
        <v>29</v>
      </c>
    </row>
    <row r="265" spans="1:7" ht="17">
      <c r="A265" s="14" t="s">
        <v>30</v>
      </c>
      <c r="B265" s="14" t="s">
        <v>6</v>
      </c>
      <c r="C265" s="14"/>
      <c r="D265" s="14"/>
      <c r="E265" s="14"/>
      <c r="F265" s="14"/>
    </row>
    <row r="266" spans="1:7" ht="17">
      <c r="A266" s="14">
        <v>36</v>
      </c>
      <c r="B266" s="14">
        <v>315</v>
      </c>
      <c r="C266" s="14"/>
      <c r="D266" s="14"/>
      <c r="E266" s="14"/>
      <c r="F266" s="14"/>
    </row>
    <row r="267" spans="1:7" ht="17">
      <c r="A267" s="14">
        <v>38</v>
      </c>
      <c r="B267" s="14">
        <v>322</v>
      </c>
      <c r="C267" s="14"/>
      <c r="D267" s="14"/>
      <c r="E267" s="14"/>
      <c r="F267" s="14"/>
    </row>
    <row r="268" spans="1:7" ht="17">
      <c r="A268" s="16"/>
    </row>
    <row r="270" spans="1:7" ht="32">
      <c r="A270" s="1" t="s">
        <v>0</v>
      </c>
      <c r="B270" s="8" t="s">
        <v>1</v>
      </c>
      <c r="C270" s="7" t="s">
        <v>2</v>
      </c>
      <c r="D270" s="7" t="s">
        <v>3</v>
      </c>
      <c r="E270" s="9" t="s">
        <v>4</v>
      </c>
      <c r="F270" s="2" t="s">
        <v>5</v>
      </c>
      <c r="G270" s="2" t="s">
        <v>6</v>
      </c>
    </row>
    <row r="271" spans="1:7">
      <c r="A271" s="4">
        <v>3</v>
      </c>
      <c r="B271" s="4" t="s">
        <v>13</v>
      </c>
      <c r="C271" s="6" t="s">
        <v>8</v>
      </c>
      <c r="D271" s="6" t="s">
        <v>14</v>
      </c>
      <c r="E271" s="4" t="s">
        <v>10</v>
      </c>
      <c r="F271" s="6">
        <v>43</v>
      </c>
      <c r="G271" s="6">
        <v>150</v>
      </c>
    </row>
    <row r="272" spans="1:7">
      <c r="A272" s="4">
        <v>7</v>
      </c>
      <c r="B272" s="4" t="s">
        <v>7</v>
      </c>
      <c r="C272" s="4" t="s">
        <v>15</v>
      </c>
      <c r="D272" s="4" t="s">
        <v>12</v>
      </c>
      <c r="E272" s="4" t="s">
        <v>16</v>
      </c>
      <c r="F272" s="4">
        <v>52</v>
      </c>
      <c r="G272" s="5">
        <v>274.09199999999998</v>
      </c>
    </row>
    <row r="273" spans="1:7">
      <c r="A273" s="4">
        <v>8</v>
      </c>
      <c r="B273" s="4" t="s">
        <v>7</v>
      </c>
      <c r="C273" s="4" t="s">
        <v>15</v>
      </c>
      <c r="D273" s="4" t="s">
        <v>12</v>
      </c>
      <c r="E273" s="4" t="s">
        <v>16</v>
      </c>
      <c r="F273" s="4">
        <v>61</v>
      </c>
      <c r="G273" s="5">
        <v>336.84199999999998</v>
      </c>
    </row>
    <row r="274" spans="1:7">
      <c r="A274" s="4">
        <v>10</v>
      </c>
      <c r="B274" s="4" t="s">
        <v>7</v>
      </c>
      <c r="C274" s="4" t="s">
        <v>15</v>
      </c>
      <c r="D274" s="4" t="s">
        <v>12</v>
      </c>
      <c r="E274" s="4" t="s">
        <v>16</v>
      </c>
      <c r="F274" s="4">
        <v>68</v>
      </c>
      <c r="G274" s="5">
        <v>512.04</v>
      </c>
    </row>
    <row r="275" spans="1:7">
      <c r="A275" s="4">
        <v>12</v>
      </c>
      <c r="B275" s="4" t="s">
        <v>7</v>
      </c>
      <c r="C275" s="4" t="s">
        <v>15</v>
      </c>
      <c r="D275" s="4" t="s">
        <v>12</v>
      </c>
      <c r="E275" s="4" t="s">
        <v>16</v>
      </c>
      <c r="F275" s="4">
        <v>70</v>
      </c>
      <c r="G275" s="5">
        <v>379.512</v>
      </c>
    </row>
    <row r="276" spans="1:7">
      <c r="A276" s="4">
        <v>13</v>
      </c>
      <c r="B276" s="4" t="s">
        <v>7</v>
      </c>
      <c r="C276" s="4" t="s">
        <v>15</v>
      </c>
      <c r="D276" s="4" t="s">
        <v>12</v>
      </c>
      <c r="E276" s="4" t="s">
        <v>16</v>
      </c>
      <c r="F276" s="4">
        <v>72</v>
      </c>
      <c r="G276" s="5">
        <v>397.58399999999995</v>
      </c>
    </row>
    <row r="277" spans="1:7">
      <c r="A277" s="4">
        <v>14</v>
      </c>
      <c r="B277" s="4" t="s">
        <v>7</v>
      </c>
      <c r="C277" s="4" t="s">
        <v>15</v>
      </c>
      <c r="D277" s="4" t="s">
        <v>12</v>
      </c>
      <c r="E277" s="4" t="s">
        <v>16</v>
      </c>
      <c r="F277" s="4">
        <v>73</v>
      </c>
      <c r="G277" s="5">
        <v>659.62799999999993</v>
      </c>
    </row>
    <row r="278" spans="1:7">
      <c r="A278" s="4">
        <v>15</v>
      </c>
      <c r="B278" s="4" t="s">
        <v>7</v>
      </c>
      <c r="C278" s="4" t="s">
        <v>15</v>
      </c>
      <c r="D278" s="4" t="s">
        <v>12</v>
      </c>
      <c r="E278" s="4" t="s">
        <v>16</v>
      </c>
      <c r="F278" s="4">
        <v>74</v>
      </c>
      <c r="G278" s="5">
        <v>482.92399999999998</v>
      </c>
    </row>
    <row r="279" spans="1:7">
      <c r="A279" s="4">
        <v>17</v>
      </c>
      <c r="B279" s="4" t="s">
        <v>7</v>
      </c>
      <c r="C279" s="4" t="s">
        <v>17</v>
      </c>
      <c r="D279" s="6" t="s">
        <v>14</v>
      </c>
      <c r="E279" s="4" t="s">
        <v>16</v>
      </c>
      <c r="F279" s="6">
        <v>76</v>
      </c>
      <c r="G279" s="6">
        <v>1100</v>
      </c>
    </row>
    <row r="280" spans="1:7">
      <c r="A280" s="4">
        <v>19</v>
      </c>
      <c r="B280" s="4" t="s">
        <v>7</v>
      </c>
      <c r="C280" s="4" t="s">
        <v>15</v>
      </c>
      <c r="D280" s="4" t="s">
        <v>12</v>
      </c>
      <c r="E280" s="4" t="s">
        <v>16</v>
      </c>
      <c r="F280" s="4">
        <v>79</v>
      </c>
      <c r="G280" s="5">
        <v>475.89599999999996</v>
      </c>
    </row>
    <row r="281" spans="1:7">
      <c r="A281" s="4">
        <v>23</v>
      </c>
      <c r="B281" s="4" t="s">
        <v>7</v>
      </c>
      <c r="C281" s="4" t="s">
        <v>15</v>
      </c>
      <c r="D281" s="4" t="s">
        <v>12</v>
      </c>
      <c r="E281" s="4" t="s">
        <v>16</v>
      </c>
      <c r="F281" s="4">
        <v>81</v>
      </c>
      <c r="G281" s="5">
        <v>691.25399999999991</v>
      </c>
    </row>
    <row r="282" spans="1:7">
      <c r="A282" s="4">
        <v>24</v>
      </c>
      <c r="B282" s="4" t="s">
        <v>7</v>
      </c>
      <c r="C282" s="4" t="s">
        <v>15</v>
      </c>
      <c r="D282" s="4" t="s">
        <v>12</v>
      </c>
      <c r="E282" s="4" t="s">
        <v>16</v>
      </c>
      <c r="F282" s="4">
        <v>83</v>
      </c>
      <c r="G282" s="5">
        <v>466.6592</v>
      </c>
    </row>
    <row r="283" spans="1:7">
      <c r="A283" s="4">
        <v>26</v>
      </c>
      <c r="B283" s="4" t="s">
        <v>7</v>
      </c>
      <c r="C283" s="4" t="s">
        <v>15</v>
      </c>
      <c r="D283" s="4" t="s">
        <v>12</v>
      </c>
      <c r="E283" s="4" t="s">
        <v>16</v>
      </c>
      <c r="F283" s="4">
        <v>84</v>
      </c>
      <c r="G283" s="5">
        <v>421.67999999999995</v>
      </c>
    </row>
    <row r="284" spans="1:7">
      <c r="A284" s="4">
        <v>27</v>
      </c>
      <c r="B284" s="4" t="s">
        <v>7</v>
      </c>
      <c r="C284" s="4" t="s">
        <v>15</v>
      </c>
      <c r="D284" s="4" t="s">
        <v>12</v>
      </c>
      <c r="E284" s="4" t="s">
        <v>16</v>
      </c>
      <c r="F284" s="4">
        <v>85</v>
      </c>
      <c r="G284" s="5">
        <v>725.39</v>
      </c>
    </row>
    <row r="285" spans="1:7">
      <c r="A285" s="4">
        <v>30</v>
      </c>
      <c r="B285" s="4" t="s">
        <v>7</v>
      </c>
      <c r="C285" s="4" t="s">
        <v>15</v>
      </c>
      <c r="D285" s="4" t="s">
        <v>12</v>
      </c>
      <c r="E285" s="4" t="s">
        <v>16</v>
      </c>
      <c r="F285" s="4">
        <v>90</v>
      </c>
      <c r="G285" s="5">
        <v>406.61999999999995</v>
      </c>
    </row>
    <row r="286" spans="1:7">
      <c r="A286" s="4">
        <v>32</v>
      </c>
      <c r="B286" s="4" t="s">
        <v>7</v>
      </c>
      <c r="C286" s="4" t="s">
        <v>15</v>
      </c>
      <c r="D286" s="4" t="s">
        <v>12</v>
      </c>
      <c r="E286" s="4" t="s">
        <v>16</v>
      </c>
      <c r="F286" s="4">
        <v>92</v>
      </c>
      <c r="G286" s="5">
        <v>831.31200000000001</v>
      </c>
    </row>
    <row r="287" spans="1:7">
      <c r="A287" s="4">
        <v>33</v>
      </c>
      <c r="B287" s="4" t="s">
        <v>7</v>
      </c>
      <c r="C287" s="4" t="s">
        <v>15</v>
      </c>
      <c r="D287" s="4" t="s">
        <v>12</v>
      </c>
      <c r="E287" s="4" t="s">
        <v>16</v>
      </c>
      <c r="F287" s="4">
        <v>100</v>
      </c>
      <c r="G287" s="5">
        <v>702.79999999999984</v>
      </c>
    </row>
    <row r="288" spans="1:7">
      <c r="A288" s="4">
        <v>35</v>
      </c>
      <c r="B288" s="4" t="s">
        <v>7</v>
      </c>
      <c r="C288" s="4" t="s">
        <v>15</v>
      </c>
      <c r="D288" s="4" t="s">
        <v>12</v>
      </c>
      <c r="E288" s="4" t="s">
        <v>16</v>
      </c>
      <c r="F288" s="4">
        <v>102</v>
      </c>
      <c r="G288" s="5">
        <v>921.67199999999991</v>
      </c>
    </row>
    <row r="289" spans="1:7">
      <c r="A289" s="4">
        <v>37</v>
      </c>
      <c r="B289" s="4" t="s">
        <v>7</v>
      </c>
      <c r="C289" s="4" t="s">
        <v>15</v>
      </c>
      <c r="D289" s="4" t="s">
        <v>12</v>
      </c>
      <c r="E289" s="4" t="s">
        <v>16</v>
      </c>
      <c r="F289" s="4">
        <v>108</v>
      </c>
      <c r="G289" s="5">
        <v>650.59199999999998</v>
      </c>
    </row>
    <row r="290" spans="1:7">
      <c r="A290" s="4">
        <v>38</v>
      </c>
      <c r="B290" s="4" t="s">
        <v>7</v>
      </c>
      <c r="C290" s="4" t="s">
        <v>17</v>
      </c>
      <c r="D290" s="6" t="s">
        <v>14</v>
      </c>
      <c r="E290" s="4" t="s">
        <v>16</v>
      </c>
      <c r="F290" s="6">
        <v>108</v>
      </c>
      <c r="G290" s="6">
        <v>1276</v>
      </c>
    </row>
    <row r="291" spans="1:7">
      <c r="A291" s="4">
        <v>39</v>
      </c>
      <c r="B291" s="4" t="s">
        <v>7</v>
      </c>
      <c r="C291" s="4" t="s">
        <v>17</v>
      </c>
      <c r="D291" s="4" t="s">
        <v>12</v>
      </c>
      <c r="E291" s="4" t="s">
        <v>16</v>
      </c>
      <c r="F291" s="6">
        <v>110</v>
      </c>
      <c r="G291" s="6">
        <v>884</v>
      </c>
    </row>
    <row r="292" spans="1:7">
      <c r="A292" s="4">
        <v>40</v>
      </c>
      <c r="B292" s="4" t="s">
        <v>7</v>
      </c>
      <c r="C292" s="4" t="s">
        <v>15</v>
      </c>
      <c r="D292" s="4" t="s">
        <v>12</v>
      </c>
      <c r="E292" s="4" t="s">
        <v>16</v>
      </c>
      <c r="F292" s="4">
        <v>114</v>
      </c>
      <c r="G292" s="5">
        <v>502</v>
      </c>
    </row>
    <row r="293" spans="1:7">
      <c r="A293" s="4">
        <v>43</v>
      </c>
      <c r="B293" s="4" t="s">
        <v>7</v>
      </c>
      <c r="C293" s="4" t="s">
        <v>15</v>
      </c>
      <c r="D293" s="4" t="s">
        <v>12</v>
      </c>
      <c r="E293" s="4" t="s">
        <v>16</v>
      </c>
      <c r="F293" s="4">
        <v>115</v>
      </c>
      <c r="G293" s="5">
        <v>692.75999999999988</v>
      </c>
    </row>
    <row r="294" spans="1:7">
      <c r="A294" s="4">
        <v>45</v>
      </c>
      <c r="B294" s="4" t="s">
        <v>7</v>
      </c>
      <c r="C294" s="4" t="s">
        <v>15</v>
      </c>
      <c r="D294" s="4" t="s">
        <v>12</v>
      </c>
      <c r="E294" s="4" t="s">
        <v>16</v>
      </c>
      <c r="F294" s="4">
        <v>117</v>
      </c>
      <c r="G294" s="5">
        <v>728.30159999999989</v>
      </c>
    </row>
    <row r="295" spans="1:7">
      <c r="A295" s="4">
        <v>46</v>
      </c>
      <c r="B295" s="4" t="s">
        <v>7</v>
      </c>
      <c r="C295" s="4" t="s">
        <v>15</v>
      </c>
      <c r="D295" s="4" t="s">
        <v>12</v>
      </c>
      <c r="E295" s="4" t="s">
        <v>16</v>
      </c>
      <c r="F295" s="4">
        <v>117</v>
      </c>
      <c r="G295" s="5">
        <v>998.47799999999984</v>
      </c>
    </row>
    <row r="296" spans="1:7">
      <c r="A296" s="4">
        <v>48</v>
      </c>
      <c r="B296" s="4" t="s">
        <v>7</v>
      </c>
      <c r="C296" s="4" t="s">
        <v>17</v>
      </c>
      <c r="D296" s="4" t="s">
        <v>12</v>
      </c>
      <c r="E296" s="4" t="s">
        <v>16</v>
      </c>
      <c r="F296" s="6">
        <v>122</v>
      </c>
      <c r="G296" s="6">
        <v>1045</v>
      </c>
    </row>
    <row r="297" spans="1:7">
      <c r="A297" s="4">
        <v>49</v>
      </c>
      <c r="B297" s="4" t="s">
        <v>7</v>
      </c>
      <c r="C297" s="4" t="s">
        <v>15</v>
      </c>
      <c r="D297" s="4" t="s">
        <v>12</v>
      </c>
      <c r="E297" s="4" t="s">
        <v>16</v>
      </c>
      <c r="F297" s="4">
        <v>125</v>
      </c>
      <c r="G297" s="5">
        <v>1004</v>
      </c>
    </row>
    <row r="298" spans="1:7">
      <c r="A298" s="4">
        <v>51</v>
      </c>
      <c r="B298" s="4" t="s">
        <v>7</v>
      </c>
      <c r="C298" s="4" t="s">
        <v>15</v>
      </c>
      <c r="D298" s="4" t="s">
        <v>12</v>
      </c>
      <c r="E298" s="4" t="s">
        <v>16</v>
      </c>
      <c r="F298" s="4">
        <v>127</v>
      </c>
      <c r="G298" s="5">
        <v>1020.064</v>
      </c>
    </row>
    <row r="299" spans="1:7">
      <c r="A299" s="4">
        <v>52</v>
      </c>
      <c r="B299" s="4" t="s">
        <v>7</v>
      </c>
      <c r="C299" s="4" t="s">
        <v>15</v>
      </c>
      <c r="D299" s="4" t="s">
        <v>12</v>
      </c>
      <c r="E299" s="4" t="s">
        <v>16</v>
      </c>
      <c r="F299" s="6">
        <v>135</v>
      </c>
      <c r="G299" s="6">
        <v>1053</v>
      </c>
    </row>
    <row r="300" spans="1:7">
      <c r="A300" s="4">
        <v>54</v>
      </c>
      <c r="B300" s="4" t="s">
        <v>7</v>
      </c>
      <c r="C300" s="4" t="s">
        <v>15</v>
      </c>
      <c r="D300" s="4" t="s">
        <v>12</v>
      </c>
      <c r="E300" s="4" t="s">
        <v>16</v>
      </c>
      <c r="F300" s="4">
        <v>136</v>
      </c>
      <c r="G300" s="5">
        <v>1024.08</v>
      </c>
    </row>
    <row r="301" spans="1:7">
      <c r="A301" s="4">
        <v>55</v>
      </c>
      <c r="B301" s="4" t="s">
        <v>7</v>
      </c>
      <c r="C301" s="4" t="s">
        <v>15</v>
      </c>
      <c r="D301" s="4" t="s">
        <v>12</v>
      </c>
      <c r="E301" s="4" t="s">
        <v>16</v>
      </c>
      <c r="F301" s="4">
        <v>143</v>
      </c>
      <c r="G301" s="5">
        <v>861.4319999999999</v>
      </c>
    </row>
    <row r="302" spans="1:7">
      <c r="A302" s="4">
        <v>59</v>
      </c>
      <c r="B302" s="4" t="s">
        <v>7</v>
      </c>
      <c r="C302" s="4" t="s">
        <v>15</v>
      </c>
      <c r="D302" s="4" t="s">
        <v>12</v>
      </c>
      <c r="E302" s="4" t="s">
        <v>16</v>
      </c>
      <c r="F302" s="4">
        <v>153</v>
      </c>
      <c r="G302" s="5">
        <v>1228.896</v>
      </c>
    </row>
    <row r="303" spans="1:7">
      <c r="A303" s="4">
        <v>60</v>
      </c>
      <c r="B303" s="4" t="s">
        <v>7</v>
      </c>
      <c r="C303" s="4" t="s">
        <v>15</v>
      </c>
      <c r="D303" s="4" t="s">
        <v>12</v>
      </c>
      <c r="E303" s="4" t="s">
        <v>16</v>
      </c>
      <c r="F303" s="6">
        <v>156</v>
      </c>
      <c r="G303" s="6">
        <v>1025</v>
      </c>
    </row>
    <row r="304" spans="1:7">
      <c r="A304" s="4">
        <v>63</v>
      </c>
      <c r="B304" s="4" t="s">
        <v>7</v>
      </c>
      <c r="C304" s="4" t="s">
        <v>15</v>
      </c>
      <c r="D304" s="4" t="s">
        <v>12</v>
      </c>
      <c r="E304" s="4" t="s">
        <v>16</v>
      </c>
      <c r="F304" s="4">
        <v>162</v>
      </c>
      <c r="G304" s="5">
        <v>1305</v>
      </c>
    </row>
    <row r="305" spans="1:8">
      <c r="A305" s="4">
        <v>71</v>
      </c>
      <c r="B305" s="4" t="s">
        <v>7</v>
      </c>
      <c r="C305" s="4" t="s">
        <v>15</v>
      </c>
      <c r="D305" s="6" t="s">
        <v>14</v>
      </c>
      <c r="E305" s="4" t="s">
        <v>16</v>
      </c>
      <c r="F305" s="6">
        <v>183</v>
      </c>
      <c r="G305" s="6">
        <v>460</v>
      </c>
    </row>
    <row r="306" spans="1:8">
      <c r="A306" s="4">
        <v>72</v>
      </c>
      <c r="B306" s="4" t="s">
        <v>7</v>
      </c>
      <c r="C306" s="4" t="s">
        <v>17</v>
      </c>
      <c r="D306" s="4" t="s">
        <v>12</v>
      </c>
      <c r="E306" s="4" t="s">
        <v>16</v>
      </c>
      <c r="F306" s="6">
        <v>189</v>
      </c>
      <c r="G306" s="6">
        <v>315</v>
      </c>
      <c r="H306" s="21" t="s">
        <v>31</v>
      </c>
    </row>
    <row r="307" spans="1:8">
      <c r="A307" s="4">
        <v>73</v>
      </c>
      <c r="B307" s="4" t="s">
        <v>7</v>
      </c>
      <c r="C307" s="4" t="s">
        <v>15</v>
      </c>
      <c r="D307" s="4" t="s">
        <v>12</v>
      </c>
      <c r="E307" s="4" t="s">
        <v>16</v>
      </c>
      <c r="F307" s="4">
        <v>193</v>
      </c>
      <c r="G307" s="5">
        <v>734</v>
      </c>
    </row>
    <row r="308" spans="1:8">
      <c r="A308" s="4">
        <v>74</v>
      </c>
      <c r="B308" s="4" t="s">
        <v>7</v>
      </c>
      <c r="C308" s="4" t="s">
        <v>17</v>
      </c>
      <c r="D308" s="4" t="s">
        <v>12</v>
      </c>
      <c r="E308" s="4" t="s">
        <v>16</v>
      </c>
      <c r="F308" s="6">
        <v>195</v>
      </c>
      <c r="G308" s="6">
        <v>322</v>
      </c>
      <c r="H308" s="21" t="s">
        <v>31</v>
      </c>
    </row>
    <row r="311" spans="1:8" ht="32">
      <c r="A311" s="1" t="s">
        <v>0</v>
      </c>
      <c r="B311" s="8" t="s">
        <v>1</v>
      </c>
      <c r="C311" s="7" t="s">
        <v>2</v>
      </c>
      <c r="D311" s="7" t="s">
        <v>3</v>
      </c>
      <c r="E311" s="9" t="s">
        <v>4</v>
      </c>
      <c r="F311" s="2" t="s">
        <v>5</v>
      </c>
      <c r="G311" s="2" t="s">
        <v>6</v>
      </c>
    </row>
    <row r="312" spans="1:8">
      <c r="A312" s="4">
        <v>3</v>
      </c>
      <c r="B312" s="4" t="s">
        <v>13</v>
      </c>
      <c r="C312" s="6" t="s">
        <v>8</v>
      </c>
      <c r="D312" s="6" t="s">
        <v>14</v>
      </c>
      <c r="E312" s="4" t="s">
        <v>10</v>
      </c>
      <c r="F312" s="6">
        <v>43</v>
      </c>
      <c r="G312" s="6">
        <v>150</v>
      </c>
    </row>
    <row r="313" spans="1:8">
      <c r="A313" s="4">
        <v>7</v>
      </c>
      <c r="B313" s="4" t="s">
        <v>7</v>
      </c>
      <c r="C313" s="4" t="s">
        <v>15</v>
      </c>
      <c r="D313" s="4" t="s">
        <v>12</v>
      </c>
      <c r="E313" s="4" t="s">
        <v>16</v>
      </c>
      <c r="F313" s="4">
        <v>52</v>
      </c>
      <c r="G313" s="5">
        <v>274.09199999999998</v>
      </c>
    </row>
    <row r="314" spans="1:8">
      <c r="A314" s="4">
        <v>8</v>
      </c>
      <c r="B314" s="4" t="s">
        <v>7</v>
      </c>
      <c r="C314" s="4" t="s">
        <v>15</v>
      </c>
      <c r="D314" s="4" t="s">
        <v>12</v>
      </c>
      <c r="E314" s="4" t="s">
        <v>16</v>
      </c>
      <c r="F314" s="4">
        <v>61</v>
      </c>
      <c r="G314" s="5">
        <v>336.84199999999998</v>
      </c>
    </row>
    <row r="315" spans="1:8">
      <c r="A315" s="4">
        <v>10</v>
      </c>
      <c r="B315" s="4" t="s">
        <v>7</v>
      </c>
      <c r="C315" s="4" t="s">
        <v>15</v>
      </c>
      <c r="D315" s="4" t="s">
        <v>12</v>
      </c>
      <c r="E315" s="4" t="s">
        <v>16</v>
      </c>
      <c r="F315" s="4">
        <v>68</v>
      </c>
      <c r="G315" s="5">
        <v>512.04</v>
      </c>
    </row>
    <row r="316" spans="1:8">
      <c r="A316" s="4">
        <v>12</v>
      </c>
      <c r="B316" s="4" t="s">
        <v>7</v>
      </c>
      <c r="C316" s="4" t="s">
        <v>15</v>
      </c>
      <c r="D316" s="4" t="s">
        <v>12</v>
      </c>
      <c r="E316" s="4" t="s">
        <v>16</v>
      </c>
      <c r="F316" s="4">
        <v>70</v>
      </c>
      <c r="G316" s="5">
        <v>379.512</v>
      </c>
    </row>
    <row r="317" spans="1:8">
      <c r="A317" s="4">
        <v>13</v>
      </c>
      <c r="B317" s="4" t="s">
        <v>7</v>
      </c>
      <c r="C317" s="4" t="s">
        <v>15</v>
      </c>
      <c r="D317" s="4" t="s">
        <v>12</v>
      </c>
      <c r="E317" s="4" t="s">
        <v>16</v>
      </c>
      <c r="F317" s="4">
        <v>72</v>
      </c>
      <c r="G317" s="5">
        <v>397.58399999999995</v>
      </c>
    </row>
    <row r="318" spans="1:8">
      <c r="A318" s="4">
        <v>14</v>
      </c>
      <c r="B318" s="4" t="s">
        <v>7</v>
      </c>
      <c r="C318" s="4" t="s">
        <v>15</v>
      </c>
      <c r="D318" s="4" t="s">
        <v>12</v>
      </c>
      <c r="E318" s="4" t="s">
        <v>16</v>
      </c>
      <c r="F318" s="4">
        <v>73</v>
      </c>
      <c r="G318" s="5">
        <v>659.62799999999993</v>
      </c>
    </row>
    <row r="319" spans="1:8">
      <c r="A319" s="4">
        <v>15</v>
      </c>
      <c r="B319" s="4" t="s">
        <v>7</v>
      </c>
      <c r="C319" s="4" t="s">
        <v>15</v>
      </c>
      <c r="D319" s="4" t="s">
        <v>12</v>
      </c>
      <c r="E319" s="4" t="s">
        <v>16</v>
      </c>
      <c r="F319" s="4">
        <v>74</v>
      </c>
      <c r="G319" s="5">
        <v>482.92399999999998</v>
      </c>
    </row>
    <row r="320" spans="1:8">
      <c r="A320" s="4">
        <v>17</v>
      </c>
      <c r="B320" s="4" t="s">
        <v>7</v>
      </c>
      <c r="C320" s="4" t="s">
        <v>17</v>
      </c>
      <c r="D320" s="6" t="s">
        <v>14</v>
      </c>
      <c r="E320" s="4" t="s">
        <v>16</v>
      </c>
      <c r="F320" s="6">
        <v>76</v>
      </c>
      <c r="G320" s="6">
        <v>1100</v>
      </c>
    </row>
    <row r="321" spans="1:7">
      <c r="A321" s="4">
        <v>19</v>
      </c>
      <c r="B321" s="4" t="s">
        <v>7</v>
      </c>
      <c r="C321" s="4" t="s">
        <v>15</v>
      </c>
      <c r="D321" s="4" t="s">
        <v>12</v>
      </c>
      <c r="E321" s="4" t="s">
        <v>16</v>
      </c>
      <c r="F321" s="4">
        <v>79</v>
      </c>
      <c r="G321" s="5">
        <v>475.89599999999996</v>
      </c>
    </row>
    <row r="322" spans="1:7">
      <c r="A322" s="4">
        <v>23</v>
      </c>
      <c r="B322" s="4" t="s">
        <v>7</v>
      </c>
      <c r="C322" s="4" t="s">
        <v>15</v>
      </c>
      <c r="D322" s="4" t="s">
        <v>12</v>
      </c>
      <c r="E322" s="4" t="s">
        <v>16</v>
      </c>
      <c r="F322" s="4">
        <v>81</v>
      </c>
      <c r="G322" s="5">
        <v>691.25399999999991</v>
      </c>
    </row>
    <row r="323" spans="1:7">
      <c r="A323" s="4">
        <v>24</v>
      </c>
      <c r="B323" s="4" t="s">
        <v>7</v>
      </c>
      <c r="C323" s="4" t="s">
        <v>15</v>
      </c>
      <c r="D323" s="4" t="s">
        <v>12</v>
      </c>
      <c r="E323" s="4" t="s">
        <v>16</v>
      </c>
      <c r="F323" s="4">
        <v>83</v>
      </c>
      <c r="G323" s="5">
        <v>466.6592</v>
      </c>
    </row>
    <row r="324" spans="1:7">
      <c r="A324" s="4">
        <v>26</v>
      </c>
      <c r="B324" s="4" t="s">
        <v>7</v>
      </c>
      <c r="C324" s="4" t="s">
        <v>15</v>
      </c>
      <c r="D324" s="4" t="s">
        <v>12</v>
      </c>
      <c r="E324" s="4" t="s">
        <v>16</v>
      </c>
      <c r="F324" s="4">
        <v>84</v>
      </c>
      <c r="G324" s="5">
        <v>421.67999999999995</v>
      </c>
    </row>
    <row r="325" spans="1:7">
      <c r="A325" s="4">
        <v>27</v>
      </c>
      <c r="B325" s="4" t="s">
        <v>7</v>
      </c>
      <c r="C325" s="4" t="s">
        <v>15</v>
      </c>
      <c r="D325" s="4" t="s">
        <v>12</v>
      </c>
      <c r="E325" s="4" t="s">
        <v>16</v>
      </c>
      <c r="F325" s="4">
        <v>85</v>
      </c>
      <c r="G325" s="5">
        <v>725.39</v>
      </c>
    </row>
    <row r="326" spans="1:7">
      <c r="A326" s="4">
        <v>30</v>
      </c>
      <c r="B326" s="4" t="s">
        <v>7</v>
      </c>
      <c r="C326" s="4" t="s">
        <v>15</v>
      </c>
      <c r="D326" s="4" t="s">
        <v>12</v>
      </c>
      <c r="E326" s="4" t="s">
        <v>16</v>
      </c>
      <c r="F326" s="4">
        <v>90</v>
      </c>
      <c r="G326" s="5">
        <v>406.61999999999995</v>
      </c>
    </row>
    <row r="327" spans="1:7">
      <c r="A327" s="4">
        <v>32</v>
      </c>
      <c r="B327" s="4" t="s">
        <v>7</v>
      </c>
      <c r="C327" s="4" t="s">
        <v>15</v>
      </c>
      <c r="D327" s="4" t="s">
        <v>12</v>
      </c>
      <c r="E327" s="4" t="s">
        <v>16</v>
      </c>
      <c r="F327" s="4">
        <v>92</v>
      </c>
      <c r="G327" s="5">
        <v>831.31200000000001</v>
      </c>
    </row>
    <row r="328" spans="1:7">
      <c r="A328" s="4">
        <v>33</v>
      </c>
      <c r="B328" s="4" t="s">
        <v>7</v>
      </c>
      <c r="C328" s="4" t="s">
        <v>15</v>
      </c>
      <c r="D328" s="4" t="s">
        <v>12</v>
      </c>
      <c r="E328" s="4" t="s">
        <v>16</v>
      </c>
      <c r="F328" s="4">
        <v>100</v>
      </c>
      <c r="G328" s="5">
        <v>702.79999999999984</v>
      </c>
    </row>
    <row r="329" spans="1:7">
      <c r="A329" s="4">
        <v>35</v>
      </c>
      <c r="B329" s="4" t="s">
        <v>7</v>
      </c>
      <c r="C329" s="4" t="s">
        <v>15</v>
      </c>
      <c r="D329" s="4" t="s">
        <v>12</v>
      </c>
      <c r="E329" s="4" t="s">
        <v>16</v>
      </c>
      <c r="F329" s="4">
        <v>102</v>
      </c>
      <c r="G329" s="5">
        <v>921.67199999999991</v>
      </c>
    </row>
    <row r="330" spans="1:7">
      <c r="A330" s="4">
        <v>37</v>
      </c>
      <c r="B330" s="4" t="s">
        <v>7</v>
      </c>
      <c r="C330" s="4" t="s">
        <v>15</v>
      </c>
      <c r="D330" s="4" t="s">
        <v>12</v>
      </c>
      <c r="E330" s="4" t="s">
        <v>16</v>
      </c>
      <c r="F330" s="4">
        <v>108</v>
      </c>
      <c r="G330" s="5">
        <v>650.59199999999998</v>
      </c>
    </row>
    <row r="331" spans="1:7">
      <c r="A331" s="4">
        <v>38</v>
      </c>
      <c r="B331" s="4" t="s">
        <v>7</v>
      </c>
      <c r="C331" s="4" t="s">
        <v>17</v>
      </c>
      <c r="D331" s="6" t="s">
        <v>14</v>
      </c>
      <c r="E331" s="4" t="s">
        <v>16</v>
      </c>
      <c r="F331" s="6">
        <v>108</v>
      </c>
      <c r="G331" s="6">
        <v>1276</v>
      </c>
    </row>
    <row r="332" spans="1:7">
      <c r="A332" s="4">
        <v>39</v>
      </c>
      <c r="B332" s="4" t="s">
        <v>7</v>
      </c>
      <c r="C332" s="4" t="s">
        <v>17</v>
      </c>
      <c r="D332" s="4" t="s">
        <v>12</v>
      </c>
      <c r="E332" s="4" t="s">
        <v>16</v>
      </c>
      <c r="F332" s="6">
        <v>110</v>
      </c>
      <c r="G332" s="6">
        <v>884</v>
      </c>
    </row>
    <row r="333" spans="1:7">
      <c r="A333" s="4">
        <v>40</v>
      </c>
      <c r="B333" s="4" t="s">
        <v>7</v>
      </c>
      <c r="C333" s="4" t="s">
        <v>15</v>
      </c>
      <c r="D333" s="4" t="s">
        <v>12</v>
      </c>
      <c r="E333" s="4" t="s">
        <v>16</v>
      </c>
      <c r="F333" s="4">
        <v>114</v>
      </c>
      <c r="G333" s="5">
        <v>502</v>
      </c>
    </row>
    <row r="334" spans="1:7">
      <c r="A334" s="4">
        <v>43</v>
      </c>
      <c r="B334" s="4" t="s">
        <v>7</v>
      </c>
      <c r="C334" s="4" t="s">
        <v>15</v>
      </c>
      <c r="D334" s="4" t="s">
        <v>12</v>
      </c>
      <c r="E334" s="4" t="s">
        <v>16</v>
      </c>
      <c r="F334" s="4">
        <v>115</v>
      </c>
      <c r="G334" s="5">
        <v>692.75999999999988</v>
      </c>
    </row>
    <row r="335" spans="1:7">
      <c r="A335" s="4">
        <v>45</v>
      </c>
      <c r="B335" s="4" t="s">
        <v>7</v>
      </c>
      <c r="C335" s="4" t="s">
        <v>15</v>
      </c>
      <c r="D335" s="4" t="s">
        <v>12</v>
      </c>
      <c r="E335" s="4" t="s">
        <v>16</v>
      </c>
      <c r="F335" s="4">
        <v>117</v>
      </c>
      <c r="G335" s="5">
        <v>728.30159999999989</v>
      </c>
    </row>
    <row r="336" spans="1:7">
      <c r="A336" s="4">
        <v>46</v>
      </c>
      <c r="B336" s="4" t="s">
        <v>7</v>
      </c>
      <c r="C336" s="4" t="s">
        <v>15</v>
      </c>
      <c r="D336" s="4" t="s">
        <v>12</v>
      </c>
      <c r="E336" s="4" t="s">
        <v>16</v>
      </c>
      <c r="F336" s="4">
        <v>117</v>
      </c>
      <c r="G336" s="5">
        <v>998.47799999999984</v>
      </c>
    </row>
    <row r="337" spans="1:7">
      <c r="A337" s="4">
        <v>48</v>
      </c>
      <c r="B337" s="4" t="s">
        <v>7</v>
      </c>
      <c r="C337" s="4" t="s">
        <v>17</v>
      </c>
      <c r="D337" s="4" t="s">
        <v>12</v>
      </c>
      <c r="E337" s="4" t="s">
        <v>16</v>
      </c>
      <c r="F337" s="6">
        <v>122</v>
      </c>
      <c r="G337" s="6">
        <v>1045</v>
      </c>
    </row>
    <row r="338" spans="1:7">
      <c r="A338" s="4">
        <v>49</v>
      </c>
      <c r="B338" s="4" t="s">
        <v>7</v>
      </c>
      <c r="C338" s="4" t="s">
        <v>15</v>
      </c>
      <c r="D338" s="4" t="s">
        <v>12</v>
      </c>
      <c r="E338" s="4" t="s">
        <v>16</v>
      </c>
      <c r="F338" s="4">
        <v>125</v>
      </c>
      <c r="G338" s="5">
        <v>1004</v>
      </c>
    </row>
    <row r="339" spans="1:7">
      <c r="A339" s="4">
        <v>51</v>
      </c>
      <c r="B339" s="4" t="s">
        <v>7</v>
      </c>
      <c r="C339" s="4" t="s">
        <v>15</v>
      </c>
      <c r="D339" s="4" t="s">
        <v>12</v>
      </c>
      <c r="E339" s="4" t="s">
        <v>16</v>
      </c>
      <c r="F339" s="4">
        <v>127</v>
      </c>
      <c r="G339" s="5">
        <v>1020.064</v>
      </c>
    </row>
    <row r="340" spans="1:7">
      <c r="A340" s="4">
        <v>52</v>
      </c>
      <c r="B340" s="4" t="s">
        <v>7</v>
      </c>
      <c r="C340" s="4" t="s">
        <v>15</v>
      </c>
      <c r="D340" s="4" t="s">
        <v>12</v>
      </c>
      <c r="E340" s="4" t="s">
        <v>16</v>
      </c>
      <c r="F340" s="6">
        <v>135</v>
      </c>
      <c r="G340" s="6">
        <v>1053</v>
      </c>
    </row>
    <row r="341" spans="1:7">
      <c r="A341" s="4">
        <v>54</v>
      </c>
      <c r="B341" s="4" t="s">
        <v>7</v>
      </c>
      <c r="C341" s="4" t="s">
        <v>15</v>
      </c>
      <c r="D341" s="4" t="s">
        <v>12</v>
      </c>
      <c r="E341" s="4" t="s">
        <v>16</v>
      </c>
      <c r="F341" s="4">
        <v>136</v>
      </c>
      <c r="G341" s="5">
        <v>1024.08</v>
      </c>
    </row>
    <row r="342" spans="1:7">
      <c r="A342" s="4">
        <v>55</v>
      </c>
      <c r="B342" s="4" t="s">
        <v>7</v>
      </c>
      <c r="C342" s="4" t="s">
        <v>15</v>
      </c>
      <c r="D342" s="4" t="s">
        <v>12</v>
      </c>
      <c r="E342" s="4" t="s">
        <v>16</v>
      </c>
      <c r="F342" s="4">
        <v>143</v>
      </c>
      <c r="G342" s="5">
        <v>861.4319999999999</v>
      </c>
    </row>
    <row r="343" spans="1:7">
      <c r="A343" s="4">
        <v>59</v>
      </c>
      <c r="B343" s="4" t="s">
        <v>7</v>
      </c>
      <c r="C343" s="4" t="s">
        <v>15</v>
      </c>
      <c r="D343" s="4" t="s">
        <v>12</v>
      </c>
      <c r="E343" s="4" t="s">
        <v>16</v>
      </c>
      <c r="F343" s="4">
        <v>153</v>
      </c>
      <c r="G343" s="5">
        <v>1228.896</v>
      </c>
    </row>
    <row r="344" spans="1:7">
      <c r="A344" s="4">
        <v>60</v>
      </c>
      <c r="B344" s="4" t="s">
        <v>7</v>
      </c>
      <c r="C344" s="4" t="s">
        <v>15</v>
      </c>
      <c r="D344" s="4" t="s">
        <v>12</v>
      </c>
      <c r="E344" s="4" t="s">
        <v>16</v>
      </c>
      <c r="F344" s="6">
        <v>156</v>
      </c>
      <c r="G344" s="6">
        <v>1025</v>
      </c>
    </row>
    <row r="345" spans="1:7">
      <c r="A345" s="4">
        <v>63</v>
      </c>
      <c r="B345" s="4" t="s">
        <v>7</v>
      </c>
      <c r="C345" s="4" t="s">
        <v>15</v>
      </c>
      <c r="D345" s="4" t="s">
        <v>12</v>
      </c>
      <c r="E345" s="4" t="s">
        <v>16</v>
      </c>
      <c r="F345" s="4">
        <v>162</v>
      </c>
      <c r="G345" s="5">
        <v>1305</v>
      </c>
    </row>
    <row r="346" spans="1:7">
      <c r="A346" s="4">
        <v>71</v>
      </c>
      <c r="B346" s="4" t="s">
        <v>7</v>
      </c>
      <c r="C346" s="4" t="s">
        <v>15</v>
      </c>
      <c r="D346" s="6" t="s">
        <v>14</v>
      </c>
      <c r="E346" s="4" t="s">
        <v>16</v>
      </c>
      <c r="F346" s="6">
        <v>183</v>
      </c>
      <c r="G346" s="6">
        <v>460</v>
      </c>
    </row>
    <row r="347" spans="1:7">
      <c r="A347" s="4">
        <v>73</v>
      </c>
      <c r="B347" s="4" t="s">
        <v>7</v>
      </c>
      <c r="C347" s="4" t="s">
        <v>15</v>
      </c>
      <c r="D347" s="4" t="s">
        <v>12</v>
      </c>
      <c r="E347" s="4" t="s">
        <v>16</v>
      </c>
      <c r="F347" s="4">
        <v>193</v>
      </c>
      <c r="G347" s="5">
        <v>734</v>
      </c>
    </row>
    <row r="349" spans="1:7">
      <c r="A349" t="s">
        <v>28</v>
      </c>
    </row>
    <row r="350" spans="1:7" ht="20">
      <c r="A350" s="13" t="s">
        <v>29</v>
      </c>
    </row>
    <row r="351" spans="1:7" ht="17">
      <c r="A351" s="14" t="s">
        <v>30</v>
      </c>
      <c r="B351" s="14" t="s">
        <v>6</v>
      </c>
      <c r="C351" s="14"/>
      <c r="D351" s="14"/>
      <c r="E351" s="14"/>
      <c r="F351" s="14"/>
      <c r="G351" s="14"/>
    </row>
    <row r="352" spans="1:7" ht="17">
      <c r="A352" s="14">
        <v>9</v>
      </c>
      <c r="B352" s="14">
        <v>1100</v>
      </c>
      <c r="C352" s="14"/>
      <c r="D352" s="14"/>
      <c r="E352" s="14"/>
      <c r="F352" s="14"/>
      <c r="G352" s="14"/>
    </row>
    <row r="353" spans="1:8" ht="17">
      <c r="A353" s="14">
        <v>20</v>
      </c>
      <c r="B353" s="14">
        <v>1276</v>
      </c>
      <c r="C353" s="14"/>
      <c r="D353" s="14"/>
      <c r="E353" s="14"/>
      <c r="F353" s="14"/>
      <c r="G353" s="14"/>
    </row>
    <row r="354" spans="1:8" ht="17">
      <c r="A354" s="14">
        <v>35</v>
      </c>
      <c r="B354" s="14">
        <v>460</v>
      </c>
      <c r="C354" s="14"/>
      <c r="D354" s="14"/>
      <c r="E354" s="14"/>
      <c r="F354" s="14"/>
      <c r="G354" s="14"/>
    </row>
    <row r="355" spans="1:8" ht="17">
      <c r="A355" s="14">
        <v>36</v>
      </c>
      <c r="B355" s="14">
        <v>734</v>
      </c>
      <c r="C355" s="14"/>
      <c r="D355" s="14"/>
      <c r="E355" s="14"/>
      <c r="F355" s="14"/>
      <c r="G355" s="14"/>
    </row>
    <row r="357" spans="1:8" ht="32">
      <c r="A357" s="1" t="s">
        <v>0</v>
      </c>
      <c r="B357" s="8" t="s">
        <v>1</v>
      </c>
      <c r="C357" s="7" t="s">
        <v>2</v>
      </c>
      <c r="D357" s="7" t="s">
        <v>3</v>
      </c>
      <c r="E357" s="9" t="s">
        <v>4</v>
      </c>
      <c r="F357" s="2" t="s">
        <v>5</v>
      </c>
      <c r="G357" s="2" t="s">
        <v>6</v>
      </c>
    </row>
    <row r="358" spans="1:8">
      <c r="A358" s="4">
        <v>3</v>
      </c>
      <c r="B358" s="4" t="s">
        <v>13</v>
      </c>
      <c r="C358" s="6" t="s">
        <v>8</v>
      </c>
      <c r="D358" s="6" t="s">
        <v>14</v>
      </c>
      <c r="E358" s="4" t="s">
        <v>10</v>
      </c>
      <c r="F358" s="6">
        <v>43</v>
      </c>
      <c r="G358" s="6">
        <v>150</v>
      </c>
    </row>
    <row r="359" spans="1:8">
      <c r="A359" s="4">
        <v>7</v>
      </c>
      <c r="B359" s="4" t="s">
        <v>7</v>
      </c>
      <c r="C359" s="4" t="s">
        <v>15</v>
      </c>
      <c r="D359" s="4" t="s">
        <v>12</v>
      </c>
      <c r="E359" s="4" t="s">
        <v>16</v>
      </c>
      <c r="F359" s="4">
        <v>52</v>
      </c>
      <c r="G359" s="5">
        <v>274.09199999999998</v>
      </c>
    </row>
    <row r="360" spans="1:8">
      <c r="A360" s="4">
        <v>8</v>
      </c>
      <c r="B360" s="4" t="s">
        <v>7</v>
      </c>
      <c r="C360" s="4" t="s">
        <v>15</v>
      </c>
      <c r="D360" s="4" t="s">
        <v>12</v>
      </c>
      <c r="E360" s="4" t="s">
        <v>16</v>
      </c>
      <c r="F360" s="4">
        <v>61</v>
      </c>
      <c r="G360" s="5">
        <v>336.84199999999998</v>
      </c>
    </row>
    <row r="361" spans="1:8">
      <c r="A361" s="4">
        <v>10</v>
      </c>
      <c r="B361" s="4" t="s">
        <v>7</v>
      </c>
      <c r="C361" s="4" t="s">
        <v>15</v>
      </c>
      <c r="D361" s="4" t="s">
        <v>12</v>
      </c>
      <c r="E361" s="4" t="s">
        <v>16</v>
      </c>
      <c r="F361" s="4">
        <v>68</v>
      </c>
      <c r="G361" s="5">
        <v>512.04</v>
      </c>
    </row>
    <row r="362" spans="1:8">
      <c r="A362" s="4">
        <v>12</v>
      </c>
      <c r="B362" s="4" t="s">
        <v>7</v>
      </c>
      <c r="C362" s="4" t="s">
        <v>15</v>
      </c>
      <c r="D362" s="4" t="s">
        <v>12</v>
      </c>
      <c r="E362" s="4" t="s">
        <v>16</v>
      </c>
      <c r="F362" s="4">
        <v>70</v>
      </c>
      <c r="G362" s="5">
        <v>379.512</v>
      </c>
    </row>
    <row r="363" spans="1:8">
      <c r="A363" s="4">
        <v>13</v>
      </c>
      <c r="B363" s="4" t="s">
        <v>7</v>
      </c>
      <c r="C363" s="4" t="s">
        <v>15</v>
      </c>
      <c r="D363" s="4" t="s">
        <v>12</v>
      </c>
      <c r="E363" s="4" t="s">
        <v>16</v>
      </c>
      <c r="F363" s="4">
        <v>72</v>
      </c>
      <c r="G363" s="5">
        <v>397.58399999999995</v>
      </c>
    </row>
    <row r="364" spans="1:8">
      <c r="A364" s="4">
        <v>14</v>
      </c>
      <c r="B364" s="4" t="s">
        <v>7</v>
      </c>
      <c r="C364" s="4" t="s">
        <v>15</v>
      </c>
      <c r="D364" s="4" t="s">
        <v>12</v>
      </c>
      <c r="E364" s="4" t="s">
        <v>16</v>
      </c>
      <c r="F364" s="4">
        <v>73</v>
      </c>
      <c r="G364" s="5">
        <v>659.62799999999993</v>
      </c>
    </row>
    <row r="365" spans="1:8">
      <c r="A365" s="4">
        <v>15</v>
      </c>
      <c r="B365" s="4" t="s">
        <v>7</v>
      </c>
      <c r="C365" s="4" t="s">
        <v>15</v>
      </c>
      <c r="D365" s="4" t="s">
        <v>12</v>
      </c>
      <c r="E365" s="4" t="s">
        <v>16</v>
      </c>
      <c r="F365" s="4">
        <v>74</v>
      </c>
      <c r="G365" s="5">
        <v>482.92399999999998</v>
      </c>
    </row>
    <row r="366" spans="1:8">
      <c r="A366" s="4">
        <v>17</v>
      </c>
      <c r="B366" s="4" t="s">
        <v>7</v>
      </c>
      <c r="C366" s="4" t="s">
        <v>17</v>
      </c>
      <c r="D366" s="6" t="s">
        <v>14</v>
      </c>
      <c r="E366" s="4" t="s">
        <v>16</v>
      </c>
      <c r="F366" s="6">
        <v>76</v>
      </c>
      <c r="G366" s="6">
        <v>1100</v>
      </c>
      <c r="H366" s="20" t="s">
        <v>31</v>
      </c>
    </row>
    <row r="367" spans="1:8">
      <c r="A367" s="4">
        <v>19</v>
      </c>
      <c r="B367" s="4" t="s">
        <v>7</v>
      </c>
      <c r="C367" s="4" t="s">
        <v>15</v>
      </c>
      <c r="D367" s="4" t="s">
        <v>12</v>
      </c>
      <c r="E367" s="4" t="s">
        <v>16</v>
      </c>
      <c r="F367" s="4">
        <v>79</v>
      </c>
      <c r="G367" s="5">
        <v>475.89599999999996</v>
      </c>
    </row>
    <row r="368" spans="1:8">
      <c r="A368" s="4">
        <v>23</v>
      </c>
      <c r="B368" s="4" t="s">
        <v>7</v>
      </c>
      <c r="C368" s="4" t="s">
        <v>15</v>
      </c>
      <c r="D368" s="4" t="s">
        <v>12</v>
      </c>
      <c r="E368" s="4" t="s">
        <v>16</v>
      </c>
      <c r="F368" s="4">
        <v>81</v>
      </c>
      <c r="G368" s="5">
        <v>691.25399999999991</v>
      </c>
    </row>
    <row r="369" spans="1:8">
      <c r="A369" s="4">
        <v>24</v>
      </c>
      <c r="B369" s="4" t="s">
        <v>7</v>
      </c>
      <c r="C369" s="4" t="s">
        <v>15</v>
      </c>
      <c r="D369" s="4" t="s">
        <v>12</v>
      </c>
      <c r="E369" s="4" t="s">
        <v>16</v>
      </c>
      <c r="F369" s="4">
        <v>83</v>
      </c>
      <c r="G369" s="5">
        <v>466.6592</v>
      </c>
    </row>
    <row r="370" spans="1:8">
      <c r="A370" s="4">
        <v>26</v>
      </c>
      <c r="B370" s="4" t="s">
        <v>7</v>
      </c>
      <c r="C370" s="4" t="s">
        <v>15</v>
      </c>
      <c r="D370" s="4" t="s">
        <v>12</v>
      </c>
      <c r="E370" s="4" t="s">
        <v>16</v>
      </c>
      <c r="F370" s="4">
        <v>84</v>
      </c>
      <c r="G370" s="5">
        <v>421.67999999999995</v>
      </c>
    </row>
    <row r="371" spans="1:8">
      <c r="A371" s="4">
        <v>27</v>
      </c>
      <c r="B371" s="4" t="s">
        <v>7</v>
      </c>
      <c r="C371" s="4" t="s">
        <v>15</v>
      </c>
      <c r="D371" s="4" t="s">
        <v>12</v>
      </c>
      <c r="E371" s="4" t="s">
        <v>16</v>
      </c>
      <c r="F371" s="4">
        <v>85</v>
      </c>
      <c r="G371" s="5">
        <v>725.39</v>
      </c>
    </row>
    <row r="372" spans="1:8">
      <c r="A372" s="4">
        <v>30</v>
      </c>
      <c r="B372" s="4" t="s">
        <v>7</v>
      </c>
      <c r="C372" s="4" t="s">
        <v>15</v>
      </c>
      <c r="D372" s="4" t="s">
        <v>12</v>
      </c>
      <c r="E372" s="4" t="s">
        <v>16</v>
      </c>
      <c r="F372" s="4">
        <v>90</v>
      </c>
      <c r="G372" s="5">
        <v>406.61999999999995</v>
      </c>
    </row>
    <row r="373" spans="1:8">
      <c r="A373" s="4">
        <v>32</v>
      </c>
      <c r="B373" s="4" t="s">
        <v>7</v>
      </c>
      <c r="C373" s="4" t="s">
        <v>15</v>
      </c>
      <c r="D373" s="4" t="s">
        <v>12</v>
      </c>
      <c r="E373" s="4" t="s">
        <v>16</v>
      </c>
      <c r="F373" s="4">
        <v>92</v>
      </c>
      <c r="G373" s="5">
        <v>831.31200000000001</v>
      </c>
    </row>
    <row r="374" spans="1:8">
      <c r="A374" s="4">
        <v>33</v>
      </c>
      <c r="B374" s="4" t="s">
        <v>7</v>
      </c>
      <c r="C374" s="4" t="s">
        <v>15</v>
      </c>
      <c r="D374" s="4" t="s">
        <v>12</v>
      </c>
      <c r="E374" s="4" t="s">
        <v>16</v>
      </c>
      <c r="F374" s="4">
        <v>100</v>
      </c>
      <c r="G374" s="5">
        <v>702.79999999999984</v>
      </c>
    </row>
    <row r="375" spans="1:8">
      <c r="A375" s="4">
        <v>35</v>
      </c>
      <c r="B375" s="4" t="s">
        <v>7</v>
      </c>
      <c r="C375" s="4" t="s">
        <v>15</v>
      </c>
      <c r="D375" s="4" t="s">
        <v>12</v>
      </c>
      <c r="E375" s="4" t="s">
        <v>16</v>
      </c>
      <c r="F375" s="4">
        <v>102</v>
      </c>
      <c r="G375" s="5">
        <v>921.67199999999991</v>
      </c>
    </row>
    <row r="376" spans="1:8">
      <c r="A376" s="4">
        <v>37</v>
      </c>
      <c r="B376" s="4" t="s">
        <v>7</v>
      </c>
      <c r="C376" s="4" t="s">
        <v>15</v>
      </c>
      <c r="D376" s="4" t="s">
        <v>12</v>
      </c>
      <c r="E376" s="4" t="s">
        <v>16</v>
      </c>
      <c r="F376" s="4">
        <v>108</v>
      </c>
      <c r="G376" s="5">
        <v>650.59199999999998</v>
      </c>
    </row>
    <row r="377" spans="1:8">
      <c r="A377" s="4">
        <v>38</v>
      </c>
      <c r="B377" s="4" t="s">
        <v>7</v>
      </c>
      <c r="C377" s="4" t="s">
        <v>17</v>
      </c>
      <c r="D377" s="6" t="s">
        <v>14</v>
      </c>
      <c r="E377" s="4" t="s">
        <v>16</v>
      </c>
      <c r="F377" s="6">
        <v>108</v>
      </c>
      <c r="G377" s="6">
        <v>1276</v>
      </c>
      <c r="H377" s="20" t="s">
        <v>31</v>
      </c>
    </row>
    <row r="378" spans="1:8">
      <c r="A378" s="4">
        <v>39</v>
      </c>
      <c r="B378" s="4" t="s">
        <v>7</v>
      </c>
      <c r="C378" s="4" t="s">
        <v>17</v>
      </c>
      <c r="D378" s="4" t="s">
        <v>12</v>
      </c>
      <c r="E378" s="4" t="s">
        <v>16</v>
      </c>
      <c r="F378" s="6">
        <v>110</v>
      </c>
      <c r="G378" s="6">
        <v>884</v>
      </c>
    </row>
    <row r="379" spans="1:8">
      <c r="A379" s="4">
        <v>40</v>
      </c>
      <c r="B379" s="4" t="s">
        <v>7</v>
      </c>
      <c r="C379" s="4" t="s">
        <v>15</v>
      </c>
      <c r="D379" s="4" t="s">
        <v>12</v>
      </c>
      <c r="E379" s="4" t="s">
        <v>16</v>
      </c>
      <c r="F379" s="4">
        <v>114</v>
      </c>
      <c r="G379" s="5">
        <v>502</v>
      </c>
    </row>
    <row r="380" spans="1:8">
      <c r="A380" s="4">
        <v>43</v>
      </c>
      <c r="B380" s="4" t="s">
        <v>7</v>
      </c>
      <c r="C380" s="4" t="s">
        <v>15</v>
      </c>
      <c r="D380" s="4" t="s">
        <v>12</v>
      </c>
      <c r="E380" s="4" t="s">
        <v>16</v>
      </c>
      <c r="F380" s="4">
        <v>115</v>
      </c>
      <c r="G380" s="5">
        <v>692.75999999999988</v>
      </c>
    </row>
    <row r="381" spans="1:8">
      <c r="A381" s="4">
        <v>45</v>
      </c>
      <c r="B381" s="4" t="s">
        <v>7</v>
      </c>
      <c r="C381" s="4" t="s">
        <v>15</v>
      </c>
      <c r="D381" s="4" t="s">
        <v>12</v>
      </c>
      <c r="E381" s="4" t="s">
        <v>16</v>
      </c>
      <c r="F381" s="4">
        <v>117</v>
      </c>
      <c r="G381" s="5">
        <v>728.30159999999989</v>
      </c>
    </row>
    <row r="382" spans="1:8">
      <c r="A382" s="4">
        <v>46</v>
      </c>
      <c r="B382" s="4" t="s">
        <v>7</v>
      </c>
      <c r="C382" s="4" t="s">
        <v>15</v>
      </c>
      <c r="D382" s="4" t="s">
        <v>12</v>
      </c>
      <c r="E382" s="4" t="s">
        <v>16</v>
      </c>
      <c r="F382" s="4">
        <v>117</v>
      </c>
      <c r="G382" s="5">
        <v>998.47799999999984</v>
      </c>
    </row>
    <row r="383" spans="1:8">
      <c r="A383" s="4">
        <v>48</v>
      </c>
      <c r="B383" s="4" t="s">
        <v>7</v>
      </c>
      <c r="C383" s="4" t="s">
        <v>17</v>
      </c>
      <c r="D383" s="4" t="s">
        <v>12</v>
      </c>
      <c r="E383" s="4" t="s">
        <v>16</v>
      </c>
      <c r="F383" s="6">
        <v>122</v>
      </c>
      <c r="G383" s="6">
        <v>1045</v>
      </c>
    </row>
    <row r="384" spans="1:8">
      <c r="A384" s="4">
        <v>49</v>
      </c>
      <c r="B384" s="4" t="s">
        <v>7</v>
      </c>
      <c r="C384" s="4" t="s">
        <v>15</v>
      </c>
      <c r="D384" s="4" t="s">
        <v>12</v>
      </c>
      <c r="E384" s="4" t="s">
        <v>16</v>
      </c>
      <c r="F384" s="4">
        <v>125</v>
      </c>
      <c r="G384" s="5">
        <v>1004</v>
      </c>
    </row>
    <row r="385" spans="1:8">
      <c r="A385" s="4">
        <v>51</v>
      </c>
      <c r="B385" s="4" t="s">
        <v>7</v>
      </c>
      <c r="C385" s="4" t="s">
        <v>15</v>
      </c>
      <c r="D385" s="4" t="s">
        <v>12</v>
      </c>
      <c r="E385" s="4" t="s">
        <v>16</v>
      </c>
      <c r="F385" s="4">
        <v>127</v>
      </c>
      <c r="G385" s="5">
        <v>1020.064</v>
      </c>
    </row>
    <row r="386" spans="1:8">
      <c r="A386" s="4">
        <v>52</v>
      </c>
      <c r="B386" s="4" t="s">
        <v>7</v>
      </c>
      <c r="C386" s="4" t="s">
        <v>15</v>
      </c>
      <c r="D386" s="4" t="s">
        <v>12</v>
      </c>
      <c r="E386" s="4" t="s">
        <v>16</v>
      </c>
      <c r="F386" s="6">
        <v>135</v>
      </c>
      <c r="G386" s="6">
        <v>1053</v>
      </c>
    </row>
    <row r="387" spans="1:8">
      <c r="A387" s="4">
        <v>54</v>
      </c>
      <c r="B387" s="4" t="s">
        <v>7</v>
      </c>
      <c r="C387" s="4" t="s">
        <v>15</v>
      </c>
      <c r="D387" s="4" t="s">
        <v>12</v>
      </c>
      <c r="E387" s="4" t="s">
        <v>16</v>
      </c>
      <c r="F387" s="4">
        <v>136</v>
      </c>
      <c r="G387" s="5">
        <v>1024.08</v>
      </c>
    </row>
    <row r="388" spans="1:8">
      <c r="A388" s="4">
        <v>55</v>
      </c>
      <c r="B388" s="4" t="s">
        <v>7</v>
      </c>
      <c r="C388" s="4" t="s">
        <v>15</v>
      </c>
      <c r="D388" s="4" t="s">
        <v>12</v>
      </c>
      <c r="E388" s="4" t="s">
        <v>16</v>
      </c>
      <c r="F388" s="4">
        <v>143</v>
      </c>
      <c r="G388" s="5">
        <v>861.4319999999999</v>
      </c>
    </row>
    <row r="389" spans="1:8">
      <c r="A389" s="4">
        <v>59</v>
      </c>
      <c r="B389" s="4" t="s">
        <v>7</v>
      </c>
      <c r="C389" s="4" t="s">
        <v>15</v>
      </c>
      <c r="D389" s="4" t="s">
        <v>12</v>
      </c>
      <c r="E389" s="4" t="s">
        <v>16</v>
      </c>
      <c r="F389" s="4">
        <v>153</v>
      </c>
      <c r="G389" s="5">
        <v>1228.896</v>
      </c>
    </row>
    <row r="390" spans="1:8">
      <c r="A390" s="4">
        <v>60</v>
      </c>
      <c r="B390" s="4" t="s">
        <v>7</v>
      </c>
      <c r="C390" s="4" t="s">
        <v>15</v>
      </c>
      <c r="D390" s="4" t="s">
        <v>12</v>
      </c>
      <c r="E390" s="4" t="s">
        <v>16</v>
      </c>
      <c r="F390" s="6">
        <v>156</v>
      </c>
      <c r="G390" s="6">
        <v>1025</v>
      </c>
    </row>
    <row r="391" spans="1:8">
      <c r="A391" s="4">
        <v>63</v>
      </c>
      <c r="B391" s="4" t="s">
        <v>7</v>
      </c>
      <c r="C391" s="4" t="s">
        <v>15</v>
      </c>
      <c r="D391" s="4" t="s">
        <v>12</v>
      </c>
      <c r="E391" s="4" t="s">
        <v>16</v>
      </c>
      <c r="F391" s="4">
        <v>162</v>
      </c>
      <c r="G391" s="5">
        <v>1305</v>
      </c>
    </row>
    <row r="392" spans="1:8">
      <c r="A392" s="4">
        <v>71</v>
      </c>
      <c r="B392" s="4" t="s">
        <v>7</v>
      </c>
      <c r="C392" s="4" t="s">
        <v>15</v>
      </c>
      <c r="D392" s="6" t="s">
        <v>14</v>
      </c>
      <c r="E392" s="4" t="s">
        <v>16</v>
      </c>
      <c r="F392" s="6">
        <v>183</v>
      </c>
      <c r="G392" s="6">
        <v>460</v>
      </c>
      <c r="H392" s="20" t="s">
        <v>31</v>
      </c>
    </row>
    <row r="393" spans="1:8">
      <c r="A393" s="4">
        <v>73</v>
      </c>
      <c r="B393" s="4" t="s">
        <v>7</v>
      </c>
      <c r="C393" s="4" t="s">
        <v>15</v>
      </c>
      <c r="D393" s="4" t="s">
        <v>12</v>
      </c>
      <c r="E393" s="4" t="s">
        <v>16</v>
      </c>
      <c r="F393" s="4">
        <v>193</v>
      </c>
      <c r="G393" s="5">
        <v>734</v>
      </c>
      <c r="H393" s="20" t="s">
        <v>31</v>
      </c>
    </row>
    <row r="396" spans="1:8" ht="32">
      <c r="A396" s="1" t="s">
        <v>0</v>
      </c>
      <c r="B396" s="8" t="s">
        <v>1</v>
      </c>
      <c r="C396" s="7" t="s">
        <v>2</v>
      </c>
      <c r="D396" s="7" t="s">
        <v>3</v>
      </c>
      <c r="E396" s="9" t="s">
        <v>4</v>
      </c>
      <c r="F396" s="2" t="s">
        <v>5</v>
      </c>
      <c r="G396" s="2" t="s">
        <v>6</v>
      </c>
    </row>
    <row r="397" spans="1:8">
      <c r="A397" s="4">
        <v>3</v>
      </c>
      <c r="B397" s="4" t="s">
        <v>13</v>
      </c>
      <c r="C397" s="6" t="s">
        <v>8</v>
      </c>
      <c r="D397" s="6" t="s">
        <v>14</v>
      </c>
      <c r="E397" s="4" t="s">
        <v>10</v>
      </c>
      <c r="F397" s="6">
        <v>43</v>
      </c>
      <c r="G397" s="6">
        <v>150</v>
      </c>
    </row>
    <row r="398" spans="1:8">
      <c r="A398" s="4">
        <v>7</v>
      </c>
      <c r="B398" s="4" t="s">
        <v>7</v>
      </c>
      <c r="C398" s="4" t="s">
        <v>15</v>
      </c>
      <c r="D398" s="4" t="s">
        <v>12</v>
      </c>
      <c r="E398" s="4" t="s">
        <v>16</v>
      </c>
      <c r="F398" s="4">
        <v>52</v>
      </c>
      <c r="G398" s="5">
        <v>274.09199999999998</v>
      </c>
    </row>
    <row r="399" spans="1:8">
      <c r="A399" s="4">
        <v>8</v>
      </c>
      <c r="B399" s="4" t="s">
        <v>7</v>
      </c>
      <c r="C399" s="4" t="s">
        <v>15</v>
      </c>
      <c r="D399" s="4" t="s">
        <v>12</v>
      </c>
      <c r="E399" s="4" t="s">
        <v>16</v>
      </c>
      <c r="F399" s="4">
        <v>61</v>
      </c>
      <c r="G399" s="5">
        <v>336.84199999999998</v>
      </c>
    </row>
    <row r="400" spans="1:8">
      <c r="A400" s="4">
        <v>10</v>
      </c>
      <c r="B400" s="4" t="s">
        <v>7</v>
      </c>
      <c r="C400" s="4" t="s">
        <v>15</v>
      </c>
      <c r="D400" s="4" t="s">
        <v>12</v>
      </c>
      <c r="E400" s="4" t="s">
        <v>16</v>
      </c>
      <c r="F400" s="4">
        <v>68</v>
      </c>
      <c r="G400" s="5">
        <v>512.04</v>
      </c>
    </row>
    <row r="401" spans="1:7">
      <c r="A401" s="4">
        <v>12</v>
      </c>
      <c r="B401" s="4" t="s">
        <v>7</v>
      </c>
      <c r="C401" s="4" t="s">
        <v>15</v>
      </c>
      <c r="D401" s="4" t="s">
        <v>12</v>
      </c>
      <c r="E401" s="4" t="s">
        <v>16</v>
      </c>
      <c r="F401" s="4">
        <v>70</v>
      </c>
      <c r="G401" s="5">
        <v>379.512</v>
      </c>
    </row>
    <row r="402" spans="1:7">
      <c r="A402" s="4">
        <v>13</v>
      </c>
      <c r="B402" s="4" t="s">
        <v>7</v>
      </c>
      <c r="C402" s="4" t="s">
        <v>15</v>
      </c>
      <c r="D402" s="4" t="s">
        <v>12</v>
      </c>
      <c r="E402" s="4" t="s">
        <v>16</v>
      </c>
      <c r="F402" s="4">
        <v>72</v>
      </c>
      <c r="G402" s="5">
        <v>397.58399999999995</v>
      </c>
    </row>
    <row r="403" spans="1:7">
      <c r="A403" s="4">
        <v>14</v>
      </c>
      <c r="B403" s="4" t="s">
        <v>7</v>
      </c>
      <c r="C403" s="4" t="s">
        <v>15</v>
      </c>
      <c r="D403" s="4" t="s">
        <v>12</v>
      </c>
      <c r="E403" s="4" t="s">
        <v>16</v>
      </c>
      <c r="F403" s="4">
        <v>73</v>
      </c>
      <c r="G403" s="5">
        <v>659.62799999999993</v>
      </c>
    </row>
    <row r="404" spans="1:7">
      <c r="A404" s="4">
        <v>15</v>
      </c>
      <c r="B404" s="4" t="s">
        <v>7</v>
      </c>
      <c r="C404" s="4" t="s">
        <v>15</v>
      </c>
      <c r="D404" s="4" t="s">
        <v>12</v>
      </c>
      <c r="E404" s="4" t="s">
        <v>16</v>
      </c>
      <c r="F404" s="4">
        <v>74</v>
      </c>
      <c r="G404" s="5">
        <v>482.92399999999998</v>
      </c>
    </row>
    <row r="405" spans="1:7">
      <c r="A405" s="4">
        <v>19</v>
      </c>
      <c r="B405" s="4" t="s">
        <v>7</v>
      </c>
      <c r="C405" s="4" t="s">
        <v>15</v>
      </c>
      <c r="D405" s="4" t="s">
        <v>12</v>
      </c>
      <c r="E405" s="4" t="s">
        <v>16</v>
      </c>
      <c r="F405" s="4">
        <v>79</v>
      </c>
      <c r="G405" s="5">
        <v>475.89599999999996</v>
      </c>
    </row>
    <row r="406" spans="1:7">
      <c r="A406" s="4">
        <v>23</v>
      </c>
      <c r="B406" s="4" t="s">
        <v>7</v>
      </c>
      <c r="C406" s="4" t="s">
        <v>15</v>
      </c>
      <c r="D406" s="4" t="s">
        <v>12</v>
      </c>
      <c r="E406" s="4" t="s">
        <v>16</v>
      </c>
      <c r="F406" s="4">
        <v>81</v>
      </c>
      <c r="G406" s="5">
        <v>691.25399999999991</v>
      </c>
    </row>
    <row r="407" spans="1:7">
      <c r="A407" s="4">
        <v>24</v>
      </c>
      <c r="B407" s="4" t="s">
        <v>7</v>
      </c>
      <c r="C407" s="4" t="s">
        <v>15</v>
      </c>
      <c r="D407" s="4" t="s">
        <v>12</v>
      </c>
      <c r="E407" s="4" t="s">
        <v>16</v>
      </c>
      <c r="F407" s="4">
        <v>83</v>
      </c>
      <c r="G407" s="5">
        <v>466.6592</v>
      </c>
    </row>
    <row r="408" spans="1:7">
      <c r="A408" s="4">
        <v>26</v>
      </c>
      <c r="B408" s="4" t="s">
        <v>7</v>
      </c>
      <c r="C408" s="4" t="s">
        <v>15</v>
      </c>
      <c r="D408" s="4" t="s">
        <v>12</v>
      </c>
      <c r="E408" s="4" t="s">
        <v>16</v>
      </c>
      <c r="F408" s="4">
        <v>84</v>
      </c>
      <c r="G408" s="5">
        <v>421.67999999999995</v>
      </c>
    </row>
    <row r="409" spans="1:7">
      <c r="A409" s="4">
        <v>27</v>
      </c>
      <c r="B409" s="4" t="s">
        <v>7</v>
      </c>
      <c r="C409" s="4" t="s">
        <v>15</v>
      </c>
      <c r="D409" s="4" t="s">
        <v>12</v>
      </c>
      <c r="E409" s="4" t="s">
        <v>16</v>
      </c>
      <c r="F409" s="4">
        <v>85</v>
      </c>
      <c r="G409" s="5">
        <v>725.39</v>
      </c>
    </row>
    <row r="410" spans="1:7">
      <c r="A410" s="4">
        <v>30</v>
      </c>
      <c r="B410" s="4" t="s">
        <v>7</v>
      </c>
      <c r="C410" s="4" t="s">
        <v>15</v>
      </c>
      <c r="D410" s="4" t="s">
        <v>12</v>
      </c>
      <c r="E410" s="4" t="s">
        <v>16</v>
      </c>
      <c r="F410" s="4">
        <v>90</v>
      </c>
      <c r="G410" s="5">
        <v>406.61999999999995</v>
      </c>
    </row>
    <row r="411" spans="1:7">
      <c r="A411" s="4">
        <v>32</v>
      </c>
      <c r="B411" s="4" t="s">
        <v>7</v>
      </c>
      <c r="C411" s="4" t="s">
        <v>15</v>
      </c>
      <c r="D411" s="4" t="s">
        <v>12</v>
      </c>
      <c r="E411" s="4" t="s">
        <v>16</v>
      </c>
      <c r="F411" s="4">
        <v>92</v>
      </c>
      <c r="G411" s="5">
        <v>831.31200000000001</v>
      </c>
    </row>
    <row r="412" spans="1:7">
      <c r="A412" s="4">
        <v>33</v>
      </c>
      <c r="B412" s="4" t="s">
        <v>7</v>
      </c>
      <c r="C412" s="4" t="s">
        <v>15</v>
      </c>
      <c r="D412" s="4" t="s">
        <v>12</v>
      </c>
      <c r="E412" s="4" t="s">
        <v>16</v>
      </c>
      <c r="F412" s="4">
        <v>100</v>
      </c>
      <c r="G412" s="5">
        <v>702.79999999999984</v>
      </c>
    </row>
    <row r="413" spans="1:7">
      <c r="A413" s="4">
        <v>35</v>
      </c>
      <c r="B413" s="4" t="s">
        <v>7</v>
      </c>
      <c r="C413" s="4" t="s">
        <v>15</v>
      </c>
      <c r="D413" s="4" t="s">
        <v>12</v>
      </c>
      <c r="E413" s="4" t="s">
        <v>16</v>
      </c>
      <c r="F413" s="4">
        <v>102</v>
      </c>
      <c r="G413" s="5">
        <v>921.67199999999991</v>
      </c>
    </row>
    <row r="414" spans="1:7">
      <c r="A414" s="4">
        <v>37</v>
      </c>
      <c r="B414" s="4" t="s">
        <v>7</v>
      </c>
      <c r="C414" s="4" t="s">
        <v>15</v>
      </c>
      <c r="D414" s="4" t="s">
        <v>12</v>
      </c>
      <c r="E414" s="4" t="s">
        <v>16</v>
      </c>
      <c r="F414" s="4">
        <v>108</v>
      </c>
      <c r="G414" s="5">
        <v>650.59199999999998</v>
      </c>
    </row>
    <row r="415" spans="1:7">
      <c r="A415" s="4">
        <v>39</v>
      </c>
      <c r="B415" s="4" t="s">
        <v>7</v>
      </c>
      <c r="C415" s="4" t="s">
        <v>17</v>
      </c>
      <c r="D415" s="4" t="s">
        <v>12</v>
      </c>
      <c r="E415" s="4" t="s">
        <v>16</v>
      </c>
      <c r="F415" s="6">
        <v>110</v>
      </c>
      <c r="G415" s="6">
        <v>884</v>
      </c>
    </row>
    <row r="416" spans="1:7">
      <c r="A416" s="4">
        <v>40</v>
      </c>
      <c r="B416" s="4" t="s">
        <v>7</v>
      </c>
      <c r="C416" s="4" t="s">
        <v>15</v>
      </c>
      <c r="D416" s="4" t="s">
        <v>12</v>
      </c>
      <c r="E416" s="4" t="s">
        <v>16</v>
      </c>
      <c r="F416" s="4">
        <v>114</v>
      </c>
      <c r="G416" s="5">
        <v>502</v>
      </c>
    </row>
    <row r="417" spans="1:7">
      <c r="A417" s="4">
        <v>43</v>
      </c>
      <c r="B417" s="4" t="s">
        <v>7</v>
      </c>
      <c r="C417" s="4" t="s">
        <v>15</v>
      </c>
      <c r="D417" s="4" t="s">
        <v>12</v>
      </c>
      <c r="E417" s="4" t="s">
        <v>16</v>
      </c>
      <c r="F417" s="4">
        <v>115</v>
      </c>
      <c r="G417" s="5">
        <v>692.75999999999988</v>
      </c>
    </row>
    <row r="418" spans="1:7">
      <c r="A418" s="4">
        <v>45</v>
      </c>
      <c r="B418" s="4" t="s">
        <v>7</v>
      </c>
      <c r="C418" s="4" t="s">
        <v>15</v>
      </c>
      <c r="D418" s="4" t="s">
        <v>12</v>
      </c>
      <c r="E418" s="4" t="s">
        <v>16</v>
      </c>
      <c r="F418" s="4">
        <v>117</v>
      </c>
      <c r="G418" s="5">
        <v>728.30159999999989</v>
      </c>
    </row>
    <row r="419" spans="1:7">
      <c r="A419" s="4">
        <v>46</v>
      </c>
      <c r="B419" s="4" t="s">
        <v>7</v>
      </c>
      <c r="C419" s="4" t="s">
        <v>15</v>
      </c>
      <c r="D419" s="4" t="s">
        <v>12</v>
      </c>
      <c r="E419" s="4" t="s">
        <v>16</v>
      </c>
      <c r="F419" s="4">
        <v>117</v>
      </c>
      <c r="G419" s="5">
        <v>998.47799999999984</v>
      </c>
    </row>
    <row r="420" spans="1:7">
      <c r="A420" s="4">
        <v>48</v>
      </c>
      <c r="B420" s="4" t="s">
        <v>7</v>
      </c>
      <c r="C420" s="4" t="s">
        <v>17</v>
      </c>
      <c r="D420" s="4" t="s">
        <v>12</v>
      </c>
      <c r="E420" s="4" t="s">
        <v>16</v>
      </c>
      <c r="F420" s="6">
        <v>122</v>
      </c>
      <c r="G420" s="6">
        <v>1045</v>
      </c>
    </row>
    <row r="421" spans="1:7">
      <c r="A421" s="4">
        <v>49</v>
      </c>
      <c r="B421" s="4" t="s">
        <v>7</v>
      </c>
      <c r="C421" s="4" t="s">
        <v>15</v>
      </c>
      <c r="D421" s="4" t="s">
        <v>12</v>
      </c>
      <c r="E421" s="4" t="s">
        <v>16</v>
      </c>
      <c r="F421" s="4">
        <v>125</v>
      </c>
      <c r="G421" s="5">
        <v>1004</v>
      </c>
    </row>
    <row r="422" spans="1:7">
      <c r="A422" s="4">
        <v>51</v>
      </c>
      <c r="B422" s="4" t="s">
        <v>7</v>
      </c>
      <c r="C422" s="4" t="s">
        <v>15</v>
      </c>
      <c r="D422" s="4" t="s">
        <v>12</v>
      </c>
      <c r="E422" s="4" t="s">
        <v>16</v>
      </c>
      <c r="F422" s="4">
        <v>127</v>
      </c>
      <c r="G422" s="5">
        <v>1020.064</v>
      </c>
    </row>
    <row r="423" spans="1:7">
      <c r="A423" s="4">
        <v>52</v>
      </c>
      <c r="B423" s="4" t="s">
        <v>7</v>
      </c>
      <c r="C423" s="4" t="s">
        <v>15</v>
      </c>
      <c r="D423" s="4" t="s">
        <v>12</v>
      </c>
      <c r="E423" s="4" t="s">
        <v>16</v>
      </c>
      <c r="F423" s="6">
        <v>135</v>
      </c>
      <c r="G423" s="6">
        <v>1053</v>
      </c>
    </row>
    <row r="424" spans="1:7">
      <c r="A424" s="4">
        <v>54</v>
      </c>
      <c r="B424" s="4" t="s">
        <v>7</v>
      </c>
      <c r="C424" s="4" t="s">
        <v>15</v>
      </c>
      <c r="D424" s="4" t="s">
        <v>12</v>
      </c>
      <c r="E424" s="4" t="s">
        <v>16</v>
      </c>
      <c r="F424" s="4">
        <v>136</v>
      </c>
      <c r="G424" s="5">
        <v>1024.08</v>
      </c>
    </row>
    <row r="425" spans="1:7">
      <c r="A425" s="4">
        <v>55</v>
      </c>
      <c r="B425" s="4" t="s">
        <v>7</v>
      </c>
      <c r="C425" s="4" t="s">
        <v>15</v>
      </c>
      <c r="D425" s="4" t="s">
        <v>12</v>
      </c>
      <c r="E425" s="4" t="s">
        <v>16</v>
      </c>
      <c r="F425" s="4">
        <v>143</v>
      </c>
      <c r="G425" s="5">
        <v>861.4319999999999</v>
      </c>
    </row>
    <row r="426" spans="1:7">
      <c r="A426" s="4">
        <v>59</v>
      </c>
      <c r="B426" s="4" t="s">
        <v>7</v>
      </c>
      <c r="C426" s="4" t="s">
        <v>15</v>
      </c>
      <c r="D426" s="4" t="s">
        <v>12</v>
      </c>
      <c r="E426" s="4" t="s">
        <v>16</v>
      </c>
      <c r="F426" s="4">
        <v>153</v>
      </c>
      <c r="G426" s="5">
        <v>1228.896</v>
      </c>
    </row>
    <row r="427" spans="1:7">
      <c r="A427" s="4">
        <v>60</v>
      </c>
      <c r="B427" s="4" t="s">
        <v>7</v>
      </c>
      <c r="C427" s="4" t="s">
        <v>15</v>
      </c>
      <c r="D427" s="4" t="s">
        <v>12</v>
      </c>
      <c r="E427" s="4" t="s">
        <v>16</v>
      </c>
      <c r="F427" s="6">
        <v>156</v>
      </c>
      <c r="G427" s="6">
        <v>1025</v>
      </c>
    </row>
    <row r="428" spans="1:7">
      <c r="A428" s="4">
        <v>63</v>
      </c>
      <c r="B428" s="4" t="s">
        <v>7</v>
      </c>
      <c r="C428" s="4" t="s">
        <v>15</v>
      </c>
      <c r="D428" s="4" t="s">
        <v>12</v>
      </c>
      <c r="E428" s="4" t="s">
        <v>16</v>
      </c>
      <c r="F428" s="4">
        <v>162</v>
      </c>
      <c r="G428" s="5">
        <v>1305</v>
      </c>
    </row>
    <row r="430" spans="1:7">
      <c r="A430" t="s">
        <v>28</v>
      </c>
    </row>
    <row r="431" spans="1:7" ht="20">
      <c r="A431" s="13" t="s">
        <v>29</v>
      </c>
    </row>
    <row r="432" spans="1:7" ht="17">
      <c r="A432" s="14" t="s">
        <v>30</v>
      </c>
      <c r="B432" s="14" t="s">
        <v>6</v>
      </c>
      <c r="C432" s="14"/>
      <c r="D432" s="14"/>
      <c r="E432" s="14"/>
      <c r="F432" s="14"/>
    </row>
    <row r="433" spans="1:7" ht="17">
      <c r="A433" s="14">
        <v>20</v>
      </c>
      <c r="B433" s="14">
        <v>502</v>
      </c>
      <c r="C433" s="14"/>
      <c r="D433" s="14"/>
      <c r="E433" s="14"/>
      <c r="F433" s="14"/>
    </row>
    <row r="435" spans="1:7" ht="32">
      <c r="A435" s="1" t="s">
        <v>0</v>
      </c>
      <c r="B435" s="8" t="s">
        <v>1</v>
      </c>
      <c r="C435" s="7" t="s">
        <v>2</v>
      </c>
      <c r="D435" s="7" t="s">
        <v>3</v>
      </c>
      <c r="E435" s="9" t="s">
        <v>4</v>
      </c>
      <c r="F435" s="2" t="s">
        <v>5</v>
      </c>
      <c r="G435" s="2" t="s">
        <v>6</v>
      </c>
    </row>
    <row r="436" spans="1:7">
      <c r="A436" s="4">
        <v>3</v>
      </c>
      <c r="B436" s="4" t="s">
        <v>13</v>
      </c>
      <c r="C436" s="6" t="s">
        <v>8</v>
      </c>
      <c r="D436" s="6" t="s">
        <v>14</v>
      </c>
      <c r="E436" s="4" t="s">
        <v>10</v>
      </c>
      <c r="F436" s="6">
        <v>43</v>
      </c>
      <c r="G436" s="6">
        <v>150</v>
      </c>
    </row>
    <row r="437" spans="1:7">
      <c r="A437" s="4">
        <v>7</v>
      </c>
      <c r="B437" s="4" t="s">
        <v>7</v>
      </c>
      <c r="C437" s="4" t="s">
        <v>15</v>
      </c>
      <c r="D437" s="4" t="s">
        <v>12</v>
      </c>
      <c r="E437" s="4" t="s">
        <v>16</v>
      </c>
      <c r="F437" s="4">
        <v>52</v>
      </c>
      <c r="G437" s="5">
        <v>274.09199999999998</v>
      </c>
    </row>
    <row r="438" spans="1:7">
      <c r="A438" s="4">
        <v>8</v>
      </c>
      <c r="B438" s="4" t="s">
        <v>7</v>
      </c>
      <c r="C438" s="4" t="s">
        <v>15</v>
      </c>
      <c r="D438" s="4" t="s">
        <v>12</v>
      </c>
      <c r="E438" s="4" t="s">
        <v>16</v>
      </c>
      <c r="F438" s="4">
        <v>61</v>
      </c>
      <c r="G438" s="5">
        <v>336.84199999999998</v>
      </c>
    </row>
    <row r="439" spans="1:7">
      <c r="A439" s="4">
        <v>10</v>
      </c>
      <c r="B439" s="4" t="s">
        <v>7</v>
      </c>
      <c r="C439" s="4" t="s">
        <v>15</v>
      </c>
      <c r="D439" s="4" t="s">
        <v>12</v>
      </c>
      <c r="E439" s="4" t="s">
        <v>16</v>
      </c>
      <c r="F439" s="4">
        <v>68</v>
      </c>
      <c r="G439" s="5">
        <v>512.04</v>
      </c>
    </row>
    <row r="440" spans="1:7">
      <c r="A440" s="4">
        <v>12</v>
      </c>
      <c r="B440" s="4" t="s">
        <v>7</v>
      </c>
      <c r="C440" s="4" t="s">
        <v>15</v>
      </c>
      <c r="D440" s="4" t="s">
        <v>12</v>
      </c>
      <c r="E440" s="4" t="s">
        <v>16</v>
      </c>
      <c r="F440" s="4">
        <v>70</v>
      </c>
      <c r="G440" s="5">
        <v>379.512</v>
      </c>
    </row>
    <row r="441" spans="1:7">
      <c r="A441" s="4">
        <v>13</v>
      </c>
      <c r="B441" s="4" t="s">
        <v>7</v>
      </c>
      <c r="C441" s="4" t="s">
        <v>15</v>
      </c>
      <c r="D441" s="4" t="s">
        <v>12</v>
      </c>
      <c r="E441" s="4" t="s">
        <v>16</v>
      </c>
      <c r="F441" s="4">
        <v>72</v>
      </c>
      <c r="G441" s="5">
        <v>397.58399999999995</v>
      </c>
    </row>
    <row r="442" spans="1:7">
      <c r="A442" s="4">
        <v>14</v>
      </c>
      <c r="B442" s="4" t="s">
        <v>7</v>
      </c>
      <c r="C442" s="4" t="s">
        <v>15</v>
      </c>
      <c r="D442" s="4" t="s">
        <v>12</v>
      </c>
      <c r="E442" s="4" t="s">
        <v>16</v>
      </c>
      <c r="F442" s="4">
        <v>73</v>
      </c>
      <c r="G442" s="5">
        <v>659.62799999999993</v>
      </c>
    </row>
    <row r="443" spans="1:7">
      <c r="A443" s="4">
        <v>15</v>
      </c>
      <c r="B443" s="4" t="s">
        <v>7</v>
      </c>
      <c r="C443" s="4" t="s">
        <v>15</v>
      </c>
      <c r="D443" s="4" t="s">
        <v>12</v>
      </c>
      <c r="E443" s="4" t="s">
        <v>16</v>
      </c>
      <c r="F443" s="4">
        <v>74</v>
      </c>
      <c r="G443" s="5">
        <v>482.92399999999998</v>
      </c>
    </row>
    <row r="444" spans="1:7">
      <c r="A444" s="4">
        <v>19</v>
      </c>
      <c r="B444" s="4" t="s">
        <v>7</v>
      </c>
      <c r="C444" s="4" t="s">
        <v>15</v>
      </c>
      <c r="D444" s="4" t="s">
        <v>12</v>
      </c>
      <c r="E444" s="4" t="s">
        <v>16</v>
      </c>
      <c r="F444" s="4">
        <v>79</v>
      </c>
      <c r="G444" s="5">
        <v>475.89599999999996</v>
      </c>
    </row>
    <row r="445" spans="1:7">
      <c r="A445" s="4">
        <v>23</v>
      </c>
      <c r="B445" s="4" t="s">
        <v>7</v>
      </c>
      <c r="C445" s="4" t="s">
        <v>15</v>
      </c>
      <c r="D445" s="4" t="s">
        <v>12</v>
      </c>
      <c r="E445" s="4" t="s">
        <v>16</v>
      </c>
      <c r="F445" s="4">
        <v>81</v>
      </c>
      <c r="G445" s="5">
        <v>691.25399999999991</v>
      </c>
    </row>
    <row r="446" spans="1:7">
      <c r="A446" s="4">
        <v>24</v>
      </c>
      <c r="B446" s="4" t="s">
        <v>7</v>
      </c>
      <c r="C446" s="4" t="s">
        <v>15</v>
      </c>
      <c r="D446" s="4" t="s">
        <v>12</v>
      </c>
      <c r="E446" s="4" t="s">
        <v>16</v>
      </c>
      <c r="F446" s="4">
        <v>83</v>
      </c>
      <c r="G446" s="5">
        <v>466.6592</v>
      </c>
    </row>
    <row r="447" spans="1:7">
      <c r="A447" s="4">
        <v>26</v>
      </c>
      <c r="B447" s="4" t="s">
        <v>7</v>
      </c>
      <c r="C447" s="4" t="s">
        <v>15</v>
      </c>
      <c r="D447" s="4" t="s">
        <v>12</v>
      </c>
      <c r="E447" s="4" t="s">
        <v>16</v>
      </c>
      <c r="F447" s="4">
        <v>84</v>
      </c>
      <c r="G447" s="5">
        <v>421.67999999999995</v>
      </c>
    </row>
    <row r="448" spans="1:7">
      <c r="A448" s="4">
        <v>27</v>
      </c>
      <c r="B448" s="4" t="s">
        <v>7</v>
      </c>
      <c r="C448" s="4" t="s">
        <v>15</v>
      </c>
      <c r="D448" s="4" t="s">
        <v>12</v>
      </c>
      <c r="E448" s="4" t="s">
        <v>16</v>
      </c>
      <c r="F448" s="4">
        <v>85</v>
      </c>
      <c r="G448" s="5">
        <v>725.39</v>
      </c>
    </row>
    <row r="449" spans="1:8">
      <c r="A449" s="4">
        <v>30</v>
      </c>
      <c r="B449" s="4" t="s">
        <v>7</v>
      </c>
      <c r="C449" s="4" t="s">
        <v>15</v>
      </c>
      <c r="D449" s="4" t="s">
        <v>12</v>
      </c>
      <c r="E449" s="4" t="s">
        <v>16</v>
      </c>
      <c r="F449" s="4">
        <v>90</v>
      </c>
      <c r="G449" s="5">
        <v>406.61999999999995</v>
      </c>
    </row>
    <row r="450" spans="1:8">
      <c r="A450" s="4">
        <v>32</v>
      </c>
      <c r="B450" s="4" t="s">
        <v>7</v>
      </c>
      <c r="C450" s="4" t="s">
        <v>15</v>
      </c>
      <c r="D450" s="4" t="s">
        <v>12</v>
      </c>
      <c r="E450" s="4" t="s">
        <v>16</v>
      </c>
      <c r="F450" s="4">
        <v>92</v>
      </c>
      <c r="G450" s="5">
        <v>831.31200000000001</v>
      </c>
    </row>
    <row r="451" spans="1:8">
      <c r="A451" s="4">
        <v>33</v>
      </c>
      <c r="B451" s="4" t="s">
        <v>7</v>
      </c>
      <c r="C451" s="4" t="s">
        <v>15</v>
      </c>
      <c r="D451" s="4" t="s">
        <v>12</v>
      </c>
      <c r="E451" s="4" t="s">
        <v>16</v>
      </c>
      <c r="F451" s="4">
        <v>100</v>
      </c>
      <c r="G451" s="5">
        <v>702.79999999999984</v>
      </c>
    </row>
    <row r="452" spans="1:8">
      <c r="A452" s="4">
        <v>35</v>
      </c>
      <c r="B452" s="4" t="s">
        <v>7</v>
      </c>
      <c r="C452" s="4" t="s">
        <v>15</v>
      </c>
      <c r="D452" s="4" t="s">
        <v>12</v>
      </c>
      <c r="E452" s="4" t="s">
        <v>16</v>
      </c>
      <c r="F452" s="4">
        <v>102</v>
      </c>
      <c r="G452" s="5">
        <v>921.67199999999991</v>
      </c>
    </row>
    <row r="453" spans="1:8">
      <c r="A453" s="4">
        <v>37</v>
      </c>
      <c r="B453" s="4" t="s">
        <v>7</v>
      </c>
      <c r="C453" s="4" t="s">
        <v>15</v>
      </c>
      <c r="D453" s="4" t="s">
        <v>12</v>
      </c>
      <c r="E453" s="4" t="s">
        <v>16</v>
      </c>
      <c r="F453" s="4">
        <v>108</v>
      </c>
      <c r="G453" s="5">
        <v>650.59199999999998</v>
      </c>
    </row>
    <row r="454" spans="1:8">
      <c r="A454" s="4">
        <v>39</v>
      </c>
      <c r="B454" s="4" t="s">
        <v>7</v>
      </c>
      <c r="C454" s="4" t="s">
        <v>17</v>
      </c>
      <c r="D454" s="4" t="s">
        <v>12</v>
      </c>
      <c r="E454" s="4" t="s">
        <v>16</v>
      </c>
      <c r="F454" s="6">
        <v>110</v>
      </c>
      <c r="G454" s="6">
        <v>884</v>
      </c>
    </row>
    <row r="455" spans="1:8">
      <c r="A455" s="4">
        <v>40</v>
      </c>
      <c r="B455" s="4" t="s">
        <v>7</v>
      </c>
      <c r="C455" s="4" t="s">
        <v>15</v>
      </c>
      <c r="D455" s="4" t="s">
        <v>12</v>
      </c>
      <c r="E455" s="4" t="s">
        <v>16</v>
      </c>
      <c r="F455" s="4">
        <v>114</v>
      </c>
      <c r="G455" s="5">
        <v>502</v>
      </c>
      <c r="H455" s="21" t="s">
        <v>31</v>
      </c>
    </row>
    <row r="456" spans="1:8">
      <c r="A456" s="4">
        <v>43</v>
      </c>
      <c r="B456" s="4" t="s">
        <v>7</v>
      </c>
      <c r="C456" s="4" t="s">
        <v>15</v>
      </c>
      <c r="D456" s="4" t="s">
        <v>12</v>
      </c>
      <c r="E456" s="4" t="s">
        <v>16</v>
      </c>
      <c r="F456" s="4">
        <v>115</v>
      </c>
      <c r="G456" s="5">
        <v>692.75999999999988</v>
      </c>
    </row>
    <row r="457" spans="1:8">
      <c r="A457" s="4">
        <v>45</v>
      </c>
      <c r="B457" s="4" t="s">
        <v>7</v>
      </c>
      <c r="C457" s="4" t="s">
        <v>15</v>
      </c>
      <c r="D457" s="4" t="s">
        <v>12</v>
      </c>
      <c r="E457" s="4" t="s">
        <v>16</v>
      </c>
      <c r="F457" s="4">
        <v>117</v>
      </c>
      <c r="G457" s="5">
        <v>728.30159999999989</v>
      </c>
    </row>
    <row r="458" spans="1:8">
      <c r="A458" s="4">
        <v>46</v>
      </c>
      <c r="B458" s="4" t="s">
        <v>7</v>
      </c>
      <c r="C458" s="4" t="s">
        <v>15</v>
      </c>
      <c r="D458" s="4" t="s">
        <v>12</v>
      </c>
      <c r="E458" s="4" t="s">
        <v>16</v>
      </c>
      <c r="F458" s="4">
        <v>117</v>
      </c>
      <c r="G458" s="5">
        <v>998.47799999999984</v>
      </c>
    </row>
    <row r="459" spans="1:8">
      <c r="A459" s="4">
        <v>48</v>
      </c>
      <c r="B459" s="4" t="s">
        <v>7</v>
      </c>
      <c r="C459" s="4" t="s">
        <v>17</v>
      </c>
      <c r="D459" s="4" t="s">
        <v>12</v>
      </c>
      <c r="E459" s="4" t="s">
        <v>16</v>
      </c>
      <c r="F459" s="6">
        <v>122</v>
      </c>
      <c r="G459" s="6">
        <v>1045</v>
      </c>
    </row>
    <row r="460" spans="1:8">
      <c r="A460" s="4">
        <v>49</v>
      </c>
      <c r="B460" s="4" t="s">
        <v>7</v>
      </c>
      <c r="C460" s="4" t="s">
        <v>15</v>
      </c>
      <c r="D460" s="4" t="s">
        <v>12</v>
      </c>
      <c r="E460" s="4" t="s">
        <v>16</v>
      </c>
      <c r="F460" s="4">
        <v>125</v>
      </c>
      <c r="G460" s="5">
        <v>1004</v>
      </c>
    </row>
    <row r="461" spans="1:8">
      <c r="A461" s="4">
        <v>51</v>
      </c>
      <c r="B461" s="4" t="s">
        <v>7</v>
      </c>
      <c r="C461" s="4" t="s">
        <v>15</v>
      </c>
      <c r="D461" s="4" t="s">
        <v>12</v>
      </c>
      <c r="E461" s="4" t="s">
        <v>16</v>
      </c>
      <c r="F461" s="4">
        <v>127</v>
      </c>
      <c r="G461" s="5">
        <v>1020.064</v>
      </c>
    </row>
    <row r="462" spans="1:8">
      <c r="A462" s="4">
        <v>52</v>
      </c>
      <c r="B462" s="4" t="s">
        <v>7</v>
      </c>
      <c r="C462" s="4" t="s">
        <v>15</v>
      </c>
      <c r="D462" s="4" t="s">
        <v>12</v>
      </c>
      <c r="E462" s="4" t="s">
        <v>16</v>
      </c>
      <c r="F462" s="6">
        <v>135</v>
      </c>
      <c r="G462" s="6">
        <v>1053</v>
      </c>
    </row>
    <row r="463" spans="1:8">
      <c r="A463" s="4">
        <v>54</v>
      </c>
      <c r="B463" s="4" t="s">
        <v>7</v>
      </c>
      <c r="C463" s="4" t="s">
        <v>15</v>
      </c>
      <c r="D463" s="4" t="s">
        <v>12</v>
      </c>
      <c r="E463" s="4" t="s">
        <v>16</v>
      </c>
      <c r="F463" s="4">
        <v>136</v>
      </c>
      <c r="G463" s="5">
        <v>1024.08</v>
      </c>
    </row>
    <row r="464" spans="1:8">
      <c r="A464" s="4">
        <v>55</v>
      </c>
      <c r="B464" s="4" t="s">
        <v>7</v>
      </c>
      <c r="C464" s="4" t="s">
        <v>15</v>
      </c>
      <c r="D464" s="4" t="s">
        <v>12</v>
      </c>
      <c r="E464" s="4" t="s">
        <v>16</v>
      </c>
      <c r="F464" s="4">
        <v>143</v>
      </c>
      <c r="G464" s="5">
        <v>861.4319999999999</v>
      </c>
    </row>
    <row r="465" spans="1:7">
      <c r="A465" s="4">
        <v>59</v>
      </c>
      <c r="B465" s="4" t="s">
        <v>7</v>
      </c>
      <c r="C465" s="4" t="s">
        <v>15</v>
      </c>
      <c r="D465" s="4" t="s">
        <v>12</v>
      </c>
      <c r="E465" s="4" t="s">
        <v>16</v>
      </c>
      <c r="F465" s="4">
        <v>153</v>
      </c>
      <c r="G465" s="5">
        <v>1228.896</v>
      </c>
    </row>
    <row r="466" spans="1:7">
      <c r="A466" s="4">
        <v>60</v>
      </c>
      <c r="B466" s="4" t="s">
        <v>7</v>
      </c>
      <c r="C466" s="4" t="s">
        <v>15</v>
      </c>
      <c r="D466" s="4" t="s">
        <v>12</v>
      </c>
      <c r="E466" s="4" t="s">
        <v>16</v>
      </c>
      <c r="F466" s="6">
        <v>156</v>
      </c>
      <c r="G466" s="6">
        <v>1025</v>
      </c>
    </row>
    <row r="467" spans="1:7">
      <c r="A467" s="4">
        <v>63</v>
      </c>
      <c r="B467" s="4" t="s">
        <v>7</v>
      </c>
      <c r="C467" s="4" t="s">
        <v>15</v>
      </c>
      <c r="D467" s="4" t="s">
        <v>12</v>
      </c>
      <c r="E467" s="4" t="s">
        <v>16</v>
      </c>
      <c r="F467" s="4">
        <v>162</v>
      </c>
      <c r="G467" s="5">
        <v>1305</v>
      </c>
    </row>
    <row r="470" spans="1:7" ht="32">
      <c r="A470" s="1" t="s">
        <v>0</v>
      </c>
      <c r="B470" s="8" t="s">
        <v>1</v>
      </c>
      <c r="C470" s="7" t="s">
        <v>2</v>
      </c>
      <c r="D470" s="7" t="s">
        <v>3</v>
      </c>
      <c r="E470" s="9" t="s">
        <v>4</v>
      </c>
      <c r="F470" s="2" t="s">
        <v>5</v>
      </c>
      <c r="G470" s="2" t="s">
        <v>6</v>
      </c>
    </row>
    <row r="471" spans="1:7">
      <c r="A471" s="4">
        <v>3</v>
      </c>
      <c r="B471" s="4" t="s">
        <v>13</v>
      </c>
      <c r="C471" s="6" t="s">
        <v>8</v>
      </c>
      <c r="D471" s="6" t="s">
        <v>14</v>
      </c>
      <c r="E471" s="4" t="s">
        <v>10</v>
      </c>
      <c r="F471" s="6">
        <v>43</v>
      </c>
      <c r="G471" s="6">
        <v>150</v>
      </c>
    </row>
    <row r="472" spans="1:7">
      <c r="A472" s="4">
        <v>7</v>
      </c>
      <c r="B472" s="4" t="s">
        <v>7</v>
      </c>
      <c r="C472" s="4" t="s">
        <v>15</v>
      </c>
      <c r="D472" s="4" t="s">
        <v>12</v>
      </c>
      <c r="E472" s="4" t="s">
        <v>16</v>
      </c>
      <c r="F472" s="4">
        <v>52</v>
      </c>
      <c r="G472" s="5">
        <v>274.09199999999998</v>
      </c>
    </row>
    <row r="473" spans="1:7">
      <c r="A473" s="4">
        <v>8</v>
      </c>
      <c r="B473" s="4" t="s">
        <v>7</v>
      </c>
      <c r="C473" s="4" t="s">
        <v>15</v>
      </c>
      <c r="D473" s="4" t="s">
        <v>12</v>
      </c>
      <c r="E473" s="4" t="s">
        <v>16</v>
      </c>
      <c r="F473" s="4">
        <v>61</v>
      </c>
      <c r="G473" s="5">
        <v>336.84199999999998</v>
      </c>
    </row>
    <row r="474" spans="1:7">
      <c r="A474" s="4">
        <v>10</v>
      </c>
      <c r="B474" s="4" t="s">
        <v>7</v>
      </c>
      <c r="C474" s="4" t="s">
        <v>15</v>
      </c>
      <c r="D474" s="4" t="s">
        <v>12</v>
      </c>
      <c r="E474" s="4" t="s">
        <v>16</v>
      </c>
      <c r="F474" s="4">
        <v>68</v>
      </c>
      <c r="G474" s="5">
        <v>512.04</v>
      </c>
    </row>
    <row r="475" spans="1:7">
      <c r="A475" s="4">
        <v>12</v>
      </c>
      <c r="B475" s="4" t="s">
        <v>7</v>
      </c>
      <c r="C475" s="4" t="s">
        <v>15</v>
      </c>
      <c r="D475" s="4" t="s">
        <v>12</v>
      </c>
      <c r="E475" s="4" t="s">
        <v>16</v>
      </c>
      <c r="F475" s="4">
        <v>70</v>
      </c>
      <c r="G475" s="5">
        <v>379.512</v>
      </c>
    </row>
    <row r="476" spans="1:7">
      <c r="A476" s="4">
        <v>13</v>
      </c>
      <c r="B476" s="4" t="s">
        <v>7</v>
      </c>
      <c r="C476" s="4" t="s">
        <v>15</v>
      </c>
      <c r="D476" s="4" t="s">
        <v>12</v>
      </c>
      <c r="E476" s="4" t="s">
        <v>16</v>
      </c>
      <c r="F476" s="4">
        <v>72</v>
      </c>
      <c r="G476" s="5">
        <v>397.58399999999995</v>
      </c>
    </row>
    <row r="477" spans="1:7">
      <c r="A477" s="4">
        <v>14</v>
      </c>
      <c r="B477" s="4" t="s">
        <v>7</v>
      </c>
      <c r="C477" s="4" t="s">
        <v>15</v>
      </c>
      <c r="D477" s="4" t="s">
        <v>12</v>
      </c>
      <c r="E477" s="4" t="s">
        <v>16</v>
      </c>
      <c r="F477" s="4">
        <v>73</v>
      </c>
      <c r="G477" s="5">
        <v>659.62799999999993</v>
      </c>
    </row>
    <row r="478" spans="1:7">
      <c r="A478" s="4">
        <v>15</v>
      </c>
      <c r="B478" s="4" t="s">
        <v>7</v>
      </c>
      <c r="C478" s="4" t="s">
        <v>15</v>
      </c>
      <c r="D478" s="4" t="s">
        <v>12</v>
      </c>
      <c r="E478" s="4" t="s">
        <v>16</v>
      </c>
      <c r="F478" s="4">
        <v>74</v>
      </c>
      <c r="G478" s="5">
        <v>482.92399999999998</v>
      </c>
    </row>
    <row r="479" spans="1:7">
      <c r="A479" s="4">
        <v>19</v>
      </c>
      <c r="B479" s="4" t="s">
        <v>7</v>
      </c>
      <c r="C479" s="4" t="s">
        <v>15</v>
      </c>
      <c r="D479" s="4" t="s">
        <v>12</v>
      </c>
      <c r="E479" s="4" t="s">
        <v>16</v>
      </c>
      <c r="F479" s="4">
        <v>79</v>
      </c>
      <c r="G479" s="5">
        <v>475.89599999999996</v>
      </c>
    </row>
    <row r="480" spans="1:7">
      <c r="A480" s="4">
        <v>23</v>
      </c>
      <c r="B480" s="4" t="s">
        <v>7</v>
      </c>
      <c r="C480" s="4" t="s">
        <v>15</v>
      </c>
      <c r="D480" s="4" t="s">
        <v>12</v>
      </c>
      <c r="E480" s="4" t="s">
        <v>16</v>
      </c>
      <c r="F480" s="4">
        <v>81</v>
      </c>
      <c r="G480" s="5">
        <v>691.25399999999991</v>
      </c>
    </row>
    <row r="481" spans="1:7">
      <c r="A481" s="4">
        <v>24</v>
      </c>
      <c r="B481" s="4" t="s">
        <v>7</v>
      </c>
      <c r="C481" s="4" t="s">
        <v>15</v>
      </c>
      <c r="D481" s="4" t="s">
        <v>12</v>
      </c>
      <c r="E481" s="4" t="s">
        <v>16</v>
      </c>
      <c r="F481" s="4">
        <v>83</v>
      </c>
      <c r="G481" s="5">
        <v>466.6592</v>
      </c>
    </row>
    <row r="482" spans="1:7">
      <c r="A482" s="4">
        <v>26</v>
      </c>
      <c r="B482" s="4" t="s">
        <v>7</v>
      </c>
      <c r="C482" s="4" t="s">
        <v>15</v>
      </c>
      <c r="D482" s="4" t="s">
        <v>12</v>
      </c>
      <c r="E482" s="4" t="s">
        <v>16</v>
      </c>
      <c r="F482" s="4">
        <v>84</v>
      </c>
      <c r="G482" s="5">
        <v>421.67999999999995</v>
      </c>
    </row>
    <row r="483" spans="1:7">
      <c r="A483" s="4">
        <v>27</v>
      </c>
      <c r="B483" s="4" t="s">
        <v>7</v>
      </c>
      <c r="C483" s="4" t="s">
        <v>15</v>
      </c>
      <c r="D483" s="4" t="s">
        <v>12</v>
      </c>
      <c r="E483" s="4" t="s">
        <v>16</v>
      </c>
      <c r="F483" s="4">
        <v>85</v>
      </c>
      <c r="G483" s="5">
        <v>725.39</v>
      </c>
    </row>
    <row r="484" spans="1:7">
      <c r="A484" s="4">
        <v>30</v>
      </c>
      <c r="B484" s="4" t="s">
        <v>7</v>
      </c>
      <c r="C484" s="4" t="s">
        <v>15</v>
      </c>
      <c r="D484" s="4" t="s">
        <v>12</v>
      </c>
      <c r="E484" s="4" t="s">
        <v>16</v>
      </c>
      <c r="F484" s="4">
        <v>90</v>
      </c>
      <c r="G484" s="5">
        <v>406.61999999999995</v>
      </c>
    </row>
    <row r="485" spans="1:7">
      <c r="A485" s="4">
        <v>32</v>
      </c>
      <c r="B485" s="4" t="s">
        <v>7</v>
      </c>
      <c r="C485" s="4" t="s">
        <v>15</v>
      </c>
      <c r="D485" s="4" t="s">
        <v>12</v>
      </c>
      <c r="E485" s="4" t="s">
        <v>16</v>
      </c>
      <c r="F485" s="4">
        <v>92</v>
      </c>
      <c r="G485" s="5">
        <v>831.31200000000001</v>
      </c>
    </row>
    <row r="486" spans="1:7">
      <c r="A486" s="4">
        <v>33</v>
      </c>
      <c r="B486" s="4" t="s">
        <v>7</v>
      </c>
      <c r="C486" s="4" t="s">
        <v>15</v>
      </c>
      <c r="D486" s="4" t="s">
        <v>12</v>
      </c>
      <c r="E486" s="4" t="s">
        <v>16</v>
      </c>
      <c r="F486" s="4">
        <v>100</v>
      </c>
      <c r="G486" s="5">
        <v>702.79999999999984</v>
      </c>
    </row>
    <row r="487" spans="1:7">
      <c r="A487" s="4">
        <v>35</v>
      </c>
      <c r="B487" s="4" t="s">
        <v>7</v>
      </c>
      <c r="C487" s="4" t="s">
        <v>15</v>
      </c>
      <c r="D487" s="4" t="s">
        <v>12</v>
      </c>
      <c r="E487" s="4" t="s">
        <v>16</v>
      </c>
      <c r="F487" s="4">
        <v>102</v>
      </c>
      <c r="G487" s="5">
        <v>921.67199999999991</v>
      </c>
    </row>
    <row r="488" spans="1:7">
      <c r="A488" s="4">
        <v>37</v>
      </c>
      <c r="B488" s="4" t="s">
        <v>7</v>
      </c>
      <c r="C488" s="4" t="s">
        <v>15</v>
      </c>
      <c r="D488" s="4" t="s">
        <v>12</v>
      </c>
      <c r="E488" s="4" t="s">
        <v>16</v>
      </c>
      <c r="F488" s="4">
        <v>108</v>
      </c>
      <c r="G488" s="5">
        <v>650.59199999999998</v>
      </c>
    </row>
    <row r="489" spans="1:7">
      <c r="A489" s="4">
        <v>39</v>
      </c>
      <c r="B489" s="4" t="s">
        <v>7</v>
      </c>
      <c r="C489" s="4" t="s">
        <v>17</v>
      </c>
      <c r="D489" s="4" t="s">
        <v>12</v>
      </c>
      <c r="E489" s="4" t="s">
        <v>16</v>
      </c>
      <c r="F489" s="6">
        <v>110</v>
      </c>
      <c r="G489" s="6">
        <v>884</v>
      </c>
    </row>
    <row r="490" spans="1:7">
      <c r="A490" s="4">
        <v>43</v>
      </c>
      <c r="B490" s="4" t="s">
        <v>7</v>
      </c>
      <c r="C490" s="4" t="s">
        <v>15</v>
      </c>
      <c r="D490" s="4" t="s">
        <v>12</v>
      </c>
      <c r="E490" s="4" t="s">
        <v>16</v>
      </c>
      <c r="F490" s="4">
        <v>115</v>
      </c>
      <c r="G490" s="5">
        <v>692.75999999999988</v>
      </c>
    </row>
    <row r="491" spans="1:7">
      <c r="A491" s="4">
        <v>45</v>
      </c>
      <c r="B491" s="4" t="s">
        <v>7</v>
      </c>
      <c r="C491" s="4" t="s">
        <v>15</v>
      </c>
      <c r="D491" s="4" t="s">
        <v>12</v>
      </c>
      <c r="E491" s="4" t="s">
        <v>16</v>
      </c>
      <c r="F491" s="4">
        <v>117</v>
      </c>
      <c r="G491" s="5">
        <v>728.30159999999989</v>
      </c>
    </row>
    <row r="492" spans="1:7">
      <c r="A492" s="4">
        <v>46</v>
      </c>
      <c r="B492" s="4" t="s">
        <v>7</v>
      </c>
      <c r="C492" s="4" t="s">
        <v>15</v>
      </c>
      <c r="D492" s="4" t="s">
        <v>12</v>
      </c>
      <c r="E492" s="4" t="s">
        <v>16</v>
      </c>
      <c r="F492" s="4">
        <v>117</v>
      </c>
      <c r="G492" s="5">
        <v>998.47799999999984</v>
      </c>
    </row>
    <row r="493" spans="1:7">
      <c r="A493" s="4">
        <v>48</v>
      </c>
      <c r="B493" s="4" t="s">
        <v>7</v>
      </c>
      <c r="C493" s="4" t="s">
        <v>17</v>
      </c>
      <c r="D493" s="4" t="s">
        <v>12</v>
      </c>
      <c r="E493" s="4" t="s">
        <v>16</v>
      </c>
      <c r="F493" s="6">
        <v>122</v>
      </c>
      <c r="G493" s="6">
        <v>1045</v>
      </c>
    </row>
    <row r="494" spans="1:7">
      <c r="A494" s="4">
        <v>49</v>
      </c>
      <c r="B494" s="4" t="s">
        <v>7</v>
      </c>
      <c r="C494" s="4" t="s">
        <v>15</v>
      </c>
      <c r="D494" s="4" t="s">
        <v>12</v>
      </c>
      <c r="E494" s="4" t="s">
        <v>16</v>
      </c>
      <c r="F494" s="4">
        <v>125</v>
      </c>
      <c r="G494" s="5">
        <v>1004</v>
      </c>
    </row>
    <row r="495" spans="1:7">
      <c r="A495" s="4">
        <v>51</v>
      </c>
      <c r="B495" s="4" t="s">
        <v>7</v>
      </c>
      <c r="C495" s="4" t="s">
        <v>15</v>
      </c>
      <c r="D495" s="4" t="s">
        <v>12</v>
      </c>
      <c r="E495" s="4" t="s">
        <v>16</v>
      </c>
      <c r="F495" s="4">
        <v>127</v>
      </c>
      <c r="G495" s="5">
        <v>1020.064</v>
      </c>
    </row>
    <row r="496" spans="1:7">
      <c r="A496" s="4">
        <v>52</v>
      </c>
      <c r="B496" s="4" t="s">
        <v>7</v>
      </c>
      <c r="C496" s="4" t="s">
        <v>15</v>
      </c>
      <c r="D496" s="4" t="s">
        <v>12</v>
      </c>
      <c r="E496" s="4" t="s">
        <v>16</v>
      </c>
      <c r="F496" s="6">
        <v>135</v>
      </c>
      <c r="G496" s="6">
        <v>1053</v>
      </c>
    </row>
    <row r="497" spans="1:7">
      <c r="A497" s="4">
        <v>54</v>
      </c>
      <c r="B497" s="4" t="s">
        <v>7</v>
      </c>
      <c r="C497" s="4" t="s">
        <v>15</v>
      </c>
      <c r="D497" s="4" t="s">
        <v>12</v>
      </c>
      <c r="E497" s="4" t="s">
        <v>16</v>
      </c>
      <c r="F497" s="4">
        <v>136</v>
      </c>
      <c r="G497" s="5">
        <v>1024.08</v>
      </c>
    </row>
    <row r="498" spans="1:7">
      <c r="A498" s="4">
        <v>55</v>
      </c>
      <c r="B498" s="4" t="s">
        <v>7</v>
      </c>
      <c r="C498" s="4" t="s">
        <v>15</v>
      </c>
      <c r="D498" s="4" t="s">
        <v>12</v>
      </c>
      <c r="E498" s="4" t="s">
        <v>16</v>
      </c>
      <c r="F498" s="4">
        <v>143</v>
      </c>
      <c r="G498" s="5">
        <v>861.4319999999999</v>
      </c>
    </row>
    <row r="499" spans="1:7">
      <c r="A499" s="4">
        <v>59</v>
      </c>
      <c r="B499" s="4" t="s">
        <v>7</v>
      </c>
      <c r="C499" s="4" t="s">
        <v>15</v>
      </c>
      <c r="D499" s="4" t="s">
        <v>12</v>
      </c>
      <c r="E499" s="4" t="s">
        <v>16</v>
      </c>
      <c r="F499" s="4">
        <v>153</v>
      </c>
      <c r="G499" s="5">
        <v>1228.896</v>
      </c>
    </row>
    <row r="500" spans="1:7">
      <c r="A500" s="4">
        <v>60</v>
      </c>
      <c r="B500" s="4" t="s">
        <v>7</v>
      </c>
      <c r="C500" s="4" t="s">
        <v>15</v>
      </c>
      <c r="D500" s="4" t="s">
        <v>12</v>
      </c>
      <c r="E500" s="4" t="s">
        <v>16</v>
      </c>
      <c r="F500" s="6">
        <v>156</v>
      </c>
      <c r="G500" s="6">
        <v>1025</v>
      </c>
    </row>
    <row r="501" spans="1:7">
      <c r="A501" s="4">
        <v>63</v>
      </c>
      <c r="B501" s="4" t="s">
        <v>7</v>
      </c>
      <c r="C501" s="4" t="s">
        <v>15</v>
      </c>
      <c r="D501" s="4" t="s">
        <v>12</v>
      </c>
      <c r="E501" s="4" t="s">
        <v>16</v>
      </c>
      <c r="F501" s="4">
        <v>162</v>
      </c>
      <c r="G501" s="5">
        <v>1305</v>
      </c>
    </row>
    <row r="503" spans="1:7">
      <c r="A503" t="s">
        <v>28</v>
      </c>
    </row>
    <row r="504" spans="1:7">
      <c r="A504" t="s">
        <v>31</v>
      </c>
      <c r="B504" t="s">
        <v>32</v>
      </c>
    </row>
    <row r="505" spans="1:7" ht="20">
      <c r="A505" s="10" t="s">
        <v>33</v>
      </c>
      <c r="D505" s="10" t="s">
        <v>33</v>
      </c>
    </row>
    <row r="506" spans="1:7" ht="20">
      <c r="A506" s="33">
        <v>31</v>
      </c>
      <c r="D506" s="33">
        <v>31</v>
      </c>
    </row>
    <row r="507" spans="1:7" ht="20">
      <c r="A507" s="10" t="s">
        <v>45</v>
      </c>
      <c r="D507" s="10" t="s">
        <v>45</v>
      </c>
    </row>
    <row r="508" spans="1:7" ht="20">
      <c r="A508" s="10">
        <v>1</v>
      </c>
      <c r="D508" s="10">
        <v>1</v>
      </c>
    </row>
    <row r="509" spans="1:7" ht="20">
      <c r="A509" s="10" t="s">
        <v>34</v>
      </c>
      <c r="D509" s="10" t="s">
        <v>34</v>
      </c>
    </row>
    <row r="510" spans="1:7" ht="20">
      <c r="A510" s="10" t="s">
        <v>0</v>
      </c>
      <c r="D510" s="10" t="s">
        <v>0</v>
      </c>
    </row>
    <row r="521" spans="1:1" ht="19" customHeight="1"/>
    <row r="527" spans="1:1" ht="20">
      <c r="A527" s="13" t="s">
        <v>36</v>
      </c>
    </row>
    <row r="528" spans="1:1" ht="17">
      <c r="A528" s="14" t="s">
        <v>37</v>
      </c>
    </row>
    <row r="529" spans="1:11" ht="17">
      <c r="A529" s="15">
        <v>0.82330000000000003</v>
      </c>
    </row>
    <row r="531" spans="1:11" ht="20">
      <c r="A531" s="13" t="s">
        <v>38</v>
      </c>
    </row>
    <row r="532" spans="1:11" ht="17">
      <c r="A532" s="14" t="s">
        <v>52</v>
      </c>
    </row>
    <row r="534" spans="1:11">
      <c r="A534" t="s">
        <v>40</v>
      </c>
    </row>
    <row r="535" spans="1:11" ht="32">
      <c r="A535" s="1" t="s">
        <v>0</v>
      </c>
      <c r="B535" s="8" t="s">
        <v>1</v>
      </c>
      <c r="C535" s="7" t="s">
        <v>2</v>
      </c>
      <c r="D535" s="7" t="s">
        <v>3</v>
      </c>
      <c r="E535" s="9" t="s">
        <v>4</v>
      </c>
      <c r="F535" s="2" t="s">
        <v>5</v>
      </c>
      <c r="G535" s="2" t="s">
        <v>6</v>
      </c>
      <c r="H535" s="2" t="s">
        <v>41</v>
      </c>
      <c r="I535" s="2" t="s">
        <v>42</v>
      </c>
      <c r="J535" s="2" t="s">
        <v>43</v>
      </c>
      <c r="K535" s="2" t="s">
        <v>40</v>
      </c>
    </row>
    <row r="536" spans="1:11">
      <c r="A536" s="4">
        <v>3</v>
      </c>
      <c r="B536" s="4" t="s">
        <v>13</v>
      </c>
      <c r="C536" s="6" t="s">
        <v>8</v>
      </c>
      <c r="D536" s="6" t="s">
        <v>14</v>
      </c>
      <c r="E536" s="4" t="s">
        <v>10</v>
      </c>
      <c r="F536" s="6">
        <v>43</v>
      </c>
      <c r="G536" s="6">
        <v>150</v>
      </c>
      <c r="H536" s="17">
        <f>-148.22+8.5974*F536</f>
        <v>221.4682</v>
      </c>
      <c r="I536" s="18">
        <f>(H536-G536)/G536</f>
        <v>0.47645466666666664</v>
      </c>
      <c r="J536" s="18">
        <f>ABS(I536)</f>
        <v>0.47645466666666664</v>
      </c>
      <c r="K536" s="18">
        <f>AVERAGE(J536:J566)</f>
        <v>0.16936057883250988</v>
      </c>
    </row>
    <row r="537" spans="1:11">
      <c r="A537" s="4">
        <v>7</v>
      </c>
      <c r="B537" s="4" t="s">
        <v>7</v>
      </c>
      <c r="C537" s="4" t="s">
        <v>15</v>
      </c>
      <c r="D537" s="4" t="s">
        <v>12</v>
      </c>
      <c r="E537" s="4" t="s">
        <v>16</v>
      </c>
      <c r="F537" s="4">
        <v>52</v>
      </c>
      <c r="G537" s="5">
        <v>274.09199999999998</v>
      </c>
      <c r="H537" s="17">
        <f t="shared" ref="H537:H566" si="0">-148.22+8.5974*F537</f>
        <v>298.84479999999996</v>
      </c>
      <c r="I537" s="18">
        <f t="shared" ref="I537:I566" si="1">(H537-G537)/G537</f>
        <v>9.0308363615136458E-2</v>
      </c>
      <c r="J537" s="18">
        <f t="shared" ref="J537:J566" si="2">ABS(I537)</f>
        <v>9.0308363615136458E-2</v>
      </c>
      <c r="K537" s="11"/>
    </row>
    <row r="538" spans="1:11">
      <c r="A538" s="4">
        <v>8</v>
      </c>
      <c r="B538" s="4" t="s">
        <v>7</v>
      </c>
      <c r="C538" s="4" t="s">
        <v>15</v>
      </c>
      <c r="D538" s="4" t="s">
        <v>12</v>
      </c>
      <c r="E538" s="4" t="s">
        <v>16</v>
      </c>
      <c r="F538" s="4">
        <v>61</v>
      </c>
      <c r="G538" s="5">
        <v>336.84199999999998</v>
      </c>
      <c r="H538" s="17">
        <f t="shared" si="0"/>
        <v>376.22140000000002</v>
      </c>
      <c r="I538" s="18">
        <f t="shared" si="1"/>
        <v>0.11690763028363456</v>
      </c>
      <c r="J538" s="18">
        <f t="shared" si="2"/>
        <v>0.11690763028363456</v>
      </c>
      <c r="K538" s="11"/>
    </row>
    <row r="539" spans="1:11">
      <c r="A539" s="4">
        <v>10</v>
      </c>
      <c r="B539" s="4" t="s">
        <v>7</v>
      </c>
      <c r="C539" s="4" t="s">
        <v>15</v>
      </c>
      <c r="D539" s="4" t="s">
        <v>12</v>
      </c>
      <c r="E539" s="4" t="s">
        <v>16</v>
      </c>
      <c r="F539" s="4">
        <v>68</v>
      </c>
      <c r="G539" s="5">
        <v>512.04</v>
      </c>
      <c r="H539" s="17">
        <f t="shared" si="0"/>
        <v>436.40319999999997</v>
      </c>
      <c r="I539" s="18">
        <f t="shared" si="1"/>
        <v>-0.14771658464182486</v>
      </c>
      <c r="J539" s="18">
        <f t="shared" si="2"/>
        <v>0.14771658464182486</v>
      </c>
      <c r="K539" s="11"/>
    </row>
    <row r="540" spans="1:11">
      <c r="A540" s="4">
        <v>12</v>
      </c>
      <c r="B540" s="4" t="s">
        <v>7</v>
      </c>
      <c r="C540" s="4" t="s">
        <v>15</v>
      </c>
      <c r="D540" s="4" t="s">
        <v>12</v>
      </c>
      <c r="E540" s="4" t="s">
        <v>16</v>
      </c>
      <c r="F540" s="4">
        <v>70</v>
      </c>
      <c r="G540" s="5">
        <v>379.512</v>
      </c>
      <c r="H540" s="17">
        <f t="shared" si="0"/>
        <v>453.59799999999996</v>
      </c>
      <c r="I540" s="18">
        <f t="shared" si="1"/>
        <v>0.19521385358038734</v>
      </c>
      <c r="J540" s="18">
        <f t="shared" si="2"/>
        <v>0.19521385358038734</v>
      </c>
      <c r="K540" s="11"/>
    </row>
    <row r="541" spans="1:11">
      <c r="A541" s="4">
        <v>13</v>
      </c>
      <c r="B541" s="4" t="s">
        <v>7</v>
      </c>
      <c r="C541" s="4" t="s">
        <v>15</v>
      </c>
      <c r="D541" s="4" t="s">
        <v>12</v>
      </c>
      <c r="E541" s="4" t="s">
        <v>16</v>
      </c>
      <c r="F541" s="4">
        <v>72</v>
      </c>
      <c r="G541" s="5">
        <v>397.58399999999995</v>
      </c>
      <c r="H541" s="17">
        <f t="shared" si="0"/>
        <v>470.79279999999994</v>
      </c>
      <c r="I541" s="18">
        <f t="shared" si="1"/>
        <v>0.18413417038915048</v>
      </c>
      <c r="J541" s="18">
        <f t="shared" si="2"/>
        <v>0.18413417038915048</v>
      </c>
      <c r="K541" s="11"/>
    </row>
    <row r="542" spans="1:11">
      <c r="A542" s="4">
        <v>14</v>
      </c>
      <c r="B542" s="4" t="s">
        <v>7</v>
      </c>
      <c r="C542" s="4" t="s">
        <v>15</v>
      </c>
      <c r="D542" s="4" t="s">
        <v>12</v>
      </c>
      <c r="E542" s="4" t="s">
        <v>16</v>
      </c>
      <c r="F542" s="4">
        <v>73</v>
      </c>
      <c r="G542" s="5">
        <v>659.62799999999993</v>
      </c>
      <c r="H542" s="17">
        <f t="shared" si="0"/>
        <v>479.39020000000005</v>
      </c>
      <c r="I542" s="18">
        <f t="shared" si="1"/>
        <v>-0.27324158465074239</v>
      </c>
      <c r="J542" s="18">
        <f t="shared" si="2"/>
        <v>0.27324158465074239</v>
      </c>
      <c r="K542" s="11"/>
    </row>
    <row r="543" spans="1:11">
      <c r="A543" s="4">
        <v>15</v>
      </c>
      <c r="B543" s="4" t="s">
        <v>7</v>
      </c>
      <c r="C543" s="4" t="s">
        <v>15</v>
      </c>
      <c r="D543" s="4" t="s">
        <v>12</v>
      </c>
      <c r="E543" s="4" t="s">
        <v>16</v>
      </c>
      <c r="F543" s="4">
        <v>74</v>
      </c>
      <c r="G543" s="5">
        <v>482.92399999999998</v>
      </c>
      <c r="H543" s="17">
        <f t="shared" si="0"/>
        <v>487.98760000000004</v>
      </c>
      <c r="I543" s="18">
        <f t="shared" si="1"/>
        <v>1.0485293752226158E-2</v>
      </c>
      <c r="J543" s="18">
        <f t="shared" si="2"/>
        <v>1.0485293752226158E-2</v>
      </c>
      <c r="K543" s="11"/>
    </row>
    <row r="544" spans="1:11">
      <c r="A544" s="4">
        <v>19</v>
      </c>
      <c r="B544" s="4" t="s">
        <v>7</v>
      </c>
      <c r="C544" s="4" t="s">
        <v>15</v>
      </c>
      <c r="D544" s="4" t="s">
        <v>12</v>
      </c>
      <c r="E544" s="4" t="s">
        <v>16</v>
      </c>
      <c r="F544" s="4">
        <v>79</v>
      </c>
      <c r="G544" s="5">
        <v>475.89599999999996</v>
      </c>
      <c r="H544" s="17">
        <f t="shared" si="0"/>
        <v>530.97460000000001</v>
      </c>
      <c r="I544" s="18">
        <f t="shared" si="1"/>
        <v>0.11573663153294009</v>
      </c>
      <c r="J544" s="18">
        <f t="shared" si="2"/>
        <v>0.11573663153294009</v>
      </c>
      <c r="K544" s="11"/>
    </row>
    <row r="545" spans="1:11">
      <c r="A545" s="4">
        <v>23</v>
      </c>
      <c r="B545" s="4" t="s">
        <v>7</v>
      </c>
      <c r="C545" s="4" t="s">
        <v>15</v>
      </c>
      <c r="D545" s="4" t="s">
        <v>12</v>
      </c>
      <c r="E545" s="4" t="s">
        <v>16</v>
      </c>
      <c r="F545" s="4">
        <v>81</v>
      </c>
      <c r="G545" s="5">
        <v>691.25399999999991</v>
      </c>
      <c r="H545" s="17">
        <f t="shared" si="0"/>
        <v>548.1694</v>
      </c>
      <c r="I545" s="18">
        <f t="shared" si="1"/>
        <v>-0.20699279859501707</v>
      </c>
      <c r="J545" s="18">
        <f t="shared" si="2"/>
        <v>0.20699279859501707</v>
      </c>
      <c r="K545" s="11"/>
    </row>
    <row r="546" spans="1:11">
      <c r="A546" s="4">
        <v>24</v>
      </c>
      <c r="B546" s="4" t="s">
        <v>7</v>
      </c>
      <c r="C546" s="4" t="s">
        <v>15</v>
      </c>
      <c r="D546" s="4" t="s">
        <v>12</v>
      </c>
      <c r="E546" s="4" t="s">
        <v>16</v>
      </c>
      <c r="F546" s="4">
        <v>83</v>
      </c>
      <c r="G546" s="5">
        <v>466.6592</v>
      </c>
      <c r="H546" s="17">
        <f t="shared" si="0"/>
        <v>565.36419999999998</v>
      </c>
      <c r="I546" s="18">
        <f t="shared" si="1"/>
        <v>0.21151409851129044</v>
      </c>
      <c r="J546" s="18">
        <f t="shared" si="2"/>
        <v>0.21151409851129044</v>
      </c>
      <c r="K546" s="11"/>
    </row>
    <row r="547" spans="1:11">
      <c r="A547" s="4">
        <v>26</v>
      </c>
      <c r="B547" s="4" t="s">
        <v>7</v>
      </c>
      <c r="C547" s="4" t="s">
        <v>15</v>
      </c>
      <c r="D547" s="4" t="s">
        <v>12</v>
      </c>
      <c r="E547" s="4" t="s">
        <v>16</v>
      </c>
      <c r="F547" s="4">
        <v>84</v>
      </c>
      <c r="G547" s="5">
        <v>421.67999999999995</v>
      </c>
      <c r="H547" s="17">
        <f t="shared" si="0"/>
        <v>573.96159999999998</v>
      </c>
      <c r="I547" s="18">
        <f t="shared" si="1"/>
        <v>0.36113071523430101</v>
      </c>
      <c r="J547" s="18">
        <f t="shared" si="2"/>
        <v>0.36113071523430101</v>
      </c>
      <c r="K547" s="11"/>
    </row>
    <row r="548" spans="1:11">
      <c r="A548" s="4">
        <v>27</v>
      </c>
      <c r="B548" s="4" t="s">
        <v>7</v>
      </c>
      <c r="C548" s="4" t="s">
        <v>15</v>
      </c>
      <c r="D548" s="4" t="s">
        <v>12</v>
      </c>
      <c r="E548" s="4" t="s">
        <v>16</v>
      </c>
      <c r="F548" s="4">
        <v>85</v>
      </c>
      <c r="G548" s="5">
        <v>725.39</v>
      </c>
      <c r="H548" s="17">
        <f t="shared" si="0"/>
        <v>582.55899999999997</v>
      </c>
      <c r="I548" s="18">
        <f t="shared" si="1"/>
        <v>-0.1969023559740278</v>
      </c>
      <c r="J548" s="18">
        <f t="shared" si="2"/>
        <v>0.1969023559740278</v>
      </c>
      <c r="K548" s="11"/>
    </row>
    <row r="549" spans="1:11">
      <c r="A549" s="4">
        <v>30</v>
      </c>
      <c r="B549" s="4" t="s">
        <v>7</v>
      </c>
      <c r="C549" s="4" t="s">
        <v>15</v>
      </c>
      <c r="D549" s="4" t="s">
        <v>12</v>
      </c>
      <c r="E549" s="4" t="s">
        <v>16</v>
      </c>
      <c r="F549" s="4">
        <v>90</v>
      </c>
      <c r="G549" s="5">
        <v>406.61999999999995</v>
      </c>
      <c r="H549" s="17">
        <f t="shared" si="0"/>
        <v>625.54600000000005</v>
      </c>
      <c r="I549" s="18">
        <f t="shared" si="1"/>
        <v>0.53840440706310588</v>
      </c>
      <c r="J549" s="18">
        <f t="shared" si="2"/>
        <v>0.53840440706310588</v>
      </c>
      <c r="K549" s="11"/>
    </row>
    <row r="550" spans="1:11">
      <c r="A550" s="4">
        <v>32</v>
      </c>
      <c r="B550" s="4" t="s">
        <v>7</v>
      </c>
      <c r="C550" s="4" t="s">
        <v>15</v>
      </c>
      <c r="D550" s="4" t="s">
        <v>12</v>
      </c>
      <c r="E550" s="4" t="s">
        <v>16</v>
      </c>
      <c r="F550" s="4">
        <v>92</v>
      </c>
      <c r="G550" s="5">
        <v>831.31200000000001</v>
      </c>
      <c r="H550" s="17">
        <f t="shared" si="0"/>
        <v>642.74080000000004</v>
      </c>
      <c r="I550" s="18">
        <f t="shared" si="1"/>
        <v>-0.22683565255884672</v>
      </c>
      <c r="J550" s="18">
        <f t="shared" si="2"/>
        <v>0.22683565255884672</v>
      </c>
      <c r="K550" s="11"/>
    </row>
    <row r="551" spans="1:11">
      <c r="A551" s="4">
        <v>33</v>
      </c>
      <c r="B551" s="4" t="s">
        <v>7</v>
      </c>
      <c r="C551" s="4" t="s">
        <v>15</v>
      </c>
      <c r="D551" s="4" t="s">
        <v>12</v>
      </c>
      <c r="E551" s="4" t="s">
        <v>16</v>
      </c>
      <c r="F551" s="4">
        <v>100</v>
      </c>
      <c r="G551" s="5">
        <v>702.79999999999984</v>
      </c>
      <c r="H551" s="17">
        <f t="shared" si="0"/>
        <v>711.52</v>
      </c>
      <c r="I551" s="18">
        <f t="shared" si="1"/>
        <v>1.2407512805919384E-2</v>
      </c>
      <c r="J551" s="18">
        <f t="shared" si="2"/>
        <v>1.2407512805919384E-2</v>
      </c>
      <c r="K551" s="11"/>
    </row>
    <row r="552" spans="1:11">
      <c r="A552" s="4">
        <v>35</v>
      </c>
      <c r="B552" s="4" t="s">
        <v>7</v>
      </c>
      <c r="C552" s="4" t="s">
        <v>15</v>
      </c>
      <c r="D552" s="4" t="s">
        <v>12</v>
      </c>
      <c r="E552" s="4" t="s">
        <v>16</v>
      </c>
      <c r="F552" s="4">
        <v>102</v>
      </c>
      <c r="G552" s="5">
        <v>921.67199999999991</v>
      </c>
      <c r="H552" s="17">
        <f t="shared" si="0"/>
        <v>728.71479999999997</v>
      </c>
      <c r="I552" s="18">
        <f t="shared" si="1"/>
        <v>-0.20935560589884467</v>
      </c>
      <c r="J552" s="18">
        <f t="shared" si="2"/>
        <v>0.20935560589884467</v>
      </c>
      <c r="K552" s="11"/>
    </row>
    <row r="553" spans="1:11">
      <c r="A553" s="4">
        <v>37</v>
      </c>
      <c r="B553" s="4" t="s">
        <v>7</v>
      </c>
      <c r="C553" s="4" t="s">
        <v>15</v>
      </c>
      <c r="D553" s="4" t="s">
        <v>12</v>
      </c>
      <c r="E553" s="4" t="s">
        <v>16</v>
      </c>
      <c r="F553" s="4">
        <v>108</v>
      </c>
      <c r="G553" s="5">
        <v>650.59199999999998</v>
      </c>
      <c r="H553" s="17">
        <f t="shared" si="0"/>
        <v>780.29920000000004</v>
      </c>
      <c r="I553" s="18">
        <f t="shared" si="1"/>
        <v>0.19936796025773459</v>
      </c>
      <c r="J553" s="18">
        <f t="shared" si="2"/>
        <v>0.19936796025773459</v>
      </c>
      <c r="K553" s="11"/>
    </row>
    <row r="554" spans="1:11">
      <c r="A554" s="4">
        <v>39</v>
      </c>
      <c r="B554" s="4" t="s">
        <v>7</v>
      </c>
      <c r="C554" s="4" t="s">
        <v>17</v>
      </c>
      <c r="D554" s="4" t="s">
        <v>12</v>
      </c>
      <c r="E554" s="4" t="s">
        <v>16</v>
      </c>
      <c r="F554" s="6">
        <v>110</v>
      </c>
      <c r="G554" s="6">
        <v>884</v>
      </c>
      <c r="H554" s="17">
        <f t="shared" si="0"/>
        <v>797.49400000000003</v>
      </c>
      <c r="I554" s="18">
        <f t="shared" si="1"/>
        <v>-9.7857466063348386E-2</v>
      </c>
      <c r="J554" s="18">
        <f t="shared" si="2"/>
        <v>9.7857466063348386E-2</v>
      </c>
      <c r="K554" s="11"/>
    </row>
    <row r="555" spans="1:11">
      <c r="A555" s="4">
        <v>43</v>
      </c>
      <c r="B555" s="4" t="s">
        <v>7</v>
      </c>
      <c r="C555" s="4" t="s">
        <v>15</v>
      </c>
      <c r="D555" s="4" t="s">
        <v>12</v>
      </c>
      <c r="E555" s="4" t="s">
        <v>16</v>
      </c>
      <c r="F555" s="4">
        <v>115</v>
      </c>
      <c r="G555" s="5">
        <v>692.75999999999988</v>
      </c>
      <c r="H555" s="17">
        <f t="shared" si="0"/>
        <v>840.48099999999999</v>
      </c>
      <c r="I555" s="18">
        <f t="shared" si="1"/>
        <v>0.2132354639413363</v>
      </c>
      <c r="J555" s="18">
        <f t="shared" si="2"/>
        <v>0.2132354639413363</v>
      </c>
      <c r="K555" s="11"/>
    </row>
    <row r="556" spans="1:11">
      <c r="A556" s="4">
        <v>45</v>
      </c>
      <c r="B556" s="4" t="s">
        <v>7</v>
      </c>
      <c r="C556" s="4" t="s">
        <v>15</v>
      </c>
      <c r="D556" s="4" t="s">
        <v>12</v>
      </c>
      <c r="E556" s="4" t="s">
        <v>16</v>
      </c>
      <c r="F556" s="4">
        <v>117</v>
      </c>
      <c r="G556" s="5">
        <v>728.30159999999989</v>
      </c>
      <c r="H556" s="17">
        <f t="shared" si="0"/>
        <v>857.67579999999998</v>
      </c>
      <c r="I556" s="18">
        <f t="shared" si="1"/>
        <v>0.17763822020986925</v>
      </c>
      <c r="J556" s="18">
        <f t="shared" si="2"/>
        <v>0.17763822020986925</v>
      </c>
      <c r="K556" s="11"/>
    </row>
    <row r="557" spans="1:11">
      <c r="A557" s="4">
        <v>46</v>
      </c>
      <c r="B557" s="4" t="s">
        <v>7</v>
      </c>
      <c r="C557" s="4" t="s">
        <v>15</v>
      </c>
      <c r="D557" s="4" t="s">
        <v>12</v>
      </c>
      <c r="E557" s="4" t="s">
        <v>16</v>
      </c>
      <c r="F557" s="4">
        <v>117</v>
      </c>
      <c r="G557" s="5">
        <v>998.47799999999984</v>
      </c>
      <c r="H557" s="17">
        <f t="shared" si="0"/>
        <v>857.67579999999998</v>
      </c>
      <c r="I557" s="18">
        <f t="shared" si="1"/>
        <v>-0.14101682761162476</v>
      </c>
      <c r="J557" s="18">
        <f t="shared" si="2"/>
        <v>0.14101682761162476</v>
      </c>
      <c r="K557" s="11"/>
    </row>
    <row r="558" spans="1:11">
      <c r="A558" s="4">
        <v>48</v>
      </c>
      <c r="B558" s="4" t="s">
        <v>7</v>
      </c>
      <c r="C558" s="4" t="s">
        <v>17</v>
      </c>
      <c r="D558" s="4" t="s">
        <v>12</v>
      </c>
      <c r="E558" s="4" t="s">
        <v>16</v>
      </c>
      <c r="F558" s="6">
        <v>122</v>
      </c>
      <c r="G558" s="6">
        <v>1045</v>
      </c>
      <c r="H558" s="17">
        <f t="shared" si="0"/>
        <v>900.66280000000006</v>
      </c>
      <c r="I558" s="18">
        <f t="shared" si="1"/>
        <v>-0.13812172248803822</v>
      </c>
      <c r="J558" s="18">
        <f t="shared" si="2"/>
        <v>0.13812172248803822</v>
      </c>
      <c r="K558" s="11"/>
    </row>
    <row r="559" spans="1:11">
      <c r="A559" s="4">
        <v>49</v>
      </c>
      <c r="B559" s="4" t="s">
        <v>7</v>
      </c>
      <c r="C559" s="4" t="s">
        <v>15</v>
      </c>
      <c r="D559" s="4" t="s">
        <v>12</v>
      </c>
      <c r="E559" s="4" t="s">
        <v>16</v>
      </c>
      <c r="F559" s="4">
        <v>125</v>
      </c>
      <c r="G559" s="5">
        <v>1004</v>
      </c>
      <c r="H559" s="17">
        <f t="shared" si="0"/>
        <v>926.45499999999993</v>
      </c>
      <c r="I559" s="18">
        <f t="shared" si="1"/>
        <v>-7.7236055776892507E-2</v>
      </c>
      <c r="J559" s="18">
        <f t="shared" si="2"/>
        <v>7.7236055776892507E-2</v>
      </c>
      <c r="K559" s="11"/>
    </row>
    <row r="560" spans="1:11">
      <c r="A560" s="4">
        <v>51</v>
      </c>
      <c r="B560" s="4" t="s">
        <v>7</v>
      </c>
      <c r="C560" s="4" t="s">
        <v>15</v>
      </c>
      <c r="D560" s="4" t="s">
        <v>12</v>
      </c>
      <c r="E560" s="4" t="s">
        <v>16</v>
      </c>
      <c r="F560" s="4">
        <v>127</v>
      </c>
      <c r="G560" s="5">
        <v>1020.064</v>
      </c>
      <c r="H560" s="17">
        <f t="shared" si="0"/>
        <v>943.64979999999991</v>
      </c>
      <c r="I560" s="18">
        <f t="shared" si="1"/>
        <v>-7.4911182043479671E-2</v>
      </c>
      <c r="J560" s="18">
        <f t="shared" si="2"/>
        <v>7.4911182043479671E-2</v>
      </c>
      <c r="K560" s="11"/>
    </row>
    <row r="561" spans="1:11">
      <c r="A561" s="4">
        <v>52</v>
      </c>
      <c r="B561" s="4" t="s">
        <v>7</v>
      </c>
      <c r="C561" s="4" t="s">
        <v>15</v>
      </c>
      <c r="D561" s="4" t="s">
        <v>12</v>
      </c>
      <c r="E561" s="4" t="s">
        <v>16</v>
      </c>
      <c r="F561" s="6">
        <v>135</v>
      </c>
      <c r="G561" s="6">
        <v>1053</v>
      </c>
      <c r="H561" s="17">
        <f t="shared" si="0"/>
        <v>1012.4290000000001</v>
      </c>
      <c r="I561" s="18">
        <f t="shared" si="1"/>
        <v>-3.8528964862298114E-2</v>
      </c>
      <c r="J561" s="18">
        <f t="shared" si="2"/>
        <v>3.8528964862298114E-2</v>
      </c>
      <c r="K561" s="11"/>
    </row>
    <row r="562" spans="1:11">
      <c r="A562" s="4">
        <v>54</v>
      </c>
      <c r="B562" s="4" t="s">
        <v>7</v>
      </c>
      <c r="C562" s="4" t="s">
        <v>15</v>
      </c>
      <c r="D562" s="4" t="s">
        <v>12</v>
      </c>
      <c r="E562" s="4" t="s">
        <v>16</v>
      </c>
      <c r="F562" s="4">
        <v>136</v>
      </c>
      <c r="G562" s="5">
        <v>1024.08</v>
      </c>
      <c r="H562" s="17">
        <f t="shared" si="0"/>
        <v>1021.0264</v>
      </c>
      <c r="I562" s="18">
        <f t="shared" si="1"/>
        <v>-2.9817982970080079E-3</v>
      </c>
      <c r="J562" s="18">
        <f t="shared" si="2"/>
        <v>2.9817982970080079E-3</v>
      </c>
      <c r="K562" s="11"/>
    </row>
    <row r="563" spans="1:11">
      <c r="A563" s="4">
        <v>55</v>
      </c>
      <c r="B563" s="4" t="s">
        <v>7</v>
      </c>
      <c r="C563" s="4" t="s">
        <v>15</v>
      </c>
      <c r="D563" s="4" t="s">
        <v>12</v>
      </c>
      <c r="E563" s="4" t="s">
        <v>16</v>
      </c>
      <c r="F563" s="4">
        <v>143</v>
      </c>
      <c r="G563" s="5">
        <v>861.4319999999999</v>
      </c>
      <c r="H563" s="17">
        <f t="shared" si="0"/>
        <v>1081.2082</v>
      </c>
      <c r="I563" s="18">
        <f t="shared" si="1"/>
        <v>0.25512890164284607</v>
      </c>
      <c r="J563" s="18">
        <f t="shared" si="2"/>
        <v>0.25512890164284607</v>
      </c>
      <c r="K563" s="11"/>
    </row>
    <row r="564" spans="1:11">
      <c r="A564" s="4">
        <v>59</v>
      </c>
      <c r="B564" s="4" t="s">
        <v>7</v>
      </c>
      <c r="C564" s="4" t="s">
        <v>15</v>
      </c>
      <c r="D564" s="4" t="s">
        <v>12</v>
      </c>
      <c r="E564" s="4" t="s">
        <v>16</v>
      </c>
      <c r="F564" s="4">
        <v>153</v>
      </c>
      <c r="G564" s="5">
        <v>1228.896</v>
      </c>
      <c r="H564" s="17">
        <f t="shared" si="0"/>
        <v>1167.1822</v>
      </c>
      <c r="I564" s="18">
        <f t="shared" si="1"/>
        <v>-5.021889565919329E-2</v>
      </c>
      <c r="J564" s="18">
        <f t="shared" si="2"/>
        <v>5.021889565919329E-2</v>
      </c>
      <c r="K564" s="11"/>
    </row>
    <row r="565" spans="1:11">
      <c r="A565" s="4">
        <v>60</v>
      </c>
      <c r="B565" s="4" t="s">
        <v>7</v>
      </c>
      <c r="C565" s="4" t="s">
        <v>15</v>
      </c>
      <c r="D565" s="4" t="s">
        <v>12</v>
      </c>
      <c r="E565" s="4" t="s">
        <v>16</v>
      </c>
      <c r="F565" s="6">
        <v>156</v>
      </c>
      <c r="G565" s="6">
        <v>1025</v>
      </c>
      <c r="H565" s="17">
        <f t="shared" si="0"/>
        <v>1192.9744000000001</v>
      </c>
      <c r="I565" s="18">
        <f t="shared" si="1"/>
        <v>0.16387746341463422</v>
      </c>
      <c r="J565" s="18">
        <f t="shared" si="2"/>
        <v>0.16387746341463422</v>
      </c>
      <c r="K565" s="11"/>
    </row>
    <row r="566" spans="1:11">
      <c r="A566" s="4">
        <v>63</v>
      </c>
      <c r="B566" s="4" t="s">
        <v>7</v>
      </c>
      <c r="C566" s="4" t="s">
        <v>15</v>
      </c>
      <c r="D566" s="4" t="s">
        <v>12</v>
      </c>
      <c r="E566" s="4" t="s">
        <v>16</v>
      </c>
      <c r="F566" s="4">
        <v>162</v>
      </c>
      <c r="G566" s="5">
        <v>1305</v>
      </c>
      <c r="H566" s="17">
        <f t="shared" si="0"/>
        <v>1244.5588</v>
      </c>
      <c r="I566" s="18">
        <f t="shared" si="1"/>
        <v>-4.6315095785440595E-2</v>
      </c>
      <c r="J566" s="18">
        <f t="shared" si="2"/>
        <v>4.6315095785440595E-2</v>
      </c>
      <c r="K566" s="11"/>
    </row>
    <row r="572" spans="1:11" s="38" customFormat="1"/>
    <row r="573" spans="1:11" s="38" customFormat="1"/>
    <row r="574" spans="1:11" s="38" customFormat="1"/>
    <row r="575" spans="1:11" s="38" customFormat="1"/>
    <row r="576" spans="1:11" s="38" customFormat="1"/>
    <row r="577" spans="2:5" s="38" customFormat="1"/>
    <row r="578" spans="2:5" s="38" customFormat="1"/>
    <row r="579" spans="2:5" s="38" customFormat="1"/>
    <row r="580" spans="2:5" s="38" customFormat="1"/>
    <row r="581" spans="2:5" s="38" customFormat="1"/>
    <row r="582" spans="2:5" s="38" customFormat="1">
      <c r="B582" s="39"/>
    </row>
    <row r="583" spans="2:5" s="38" customFormat="1"/>
    <row r="584" spans="2:5" s="38" customFormat="1"/>
    <row r="585" spans="2:5" s="38" customFormat="1"/>
    <row r="586" spans="2:5" s="38" customFormat="1"/>
    <row r="587" spans="2:5" s="38" customFormat="1">
      <c r="B587" s="39"/>
      <c r="E587" s="40"/>
    </row>
    <row r="588" spans="2:5" s="38" customFormat="1"/>
    <row r="589" spans="2:5" s="38" customFormat="1"/>
    <row r="590" spans="2:5" s="38" customFormat="1"/>
    <row r="591" spans="2:5" s="38" customFormat="1"/>
    <row r="592" spans="2:5" s="38" customFormat="1"/>
    <row r="593" spans="2:5" s="38" customFormat="1"/>
    <row r="594" spans="2:5" s="38" customFormat="1"/>
    <row r="595" spans="2:5" s="38" customFormat="1"/>
    <row r="596" spans="2:5" s="38" customFormat="1"/>
    <row r="597" spans="2:5" s="38" customFormat="1"/>
    <row r="598" spans="2:5" s="38" customFormat="1"/>
    <row r="599" spans="2:5" s="38" customFormat="1"/>
    <row r="600" spans="2:5" s="38" customFormat="1"/>
    <row r="601" spans="2:5" s="38" customFormat="1"/>
    <row r="602" spans="2:5" s="38" customFormat="1">
      <c r="B602" s="39"/>
    </row>
    <row r="603" spans="2:5" s="38" customFormat="1"/>
    <row r="604" spans="2:5" s="38" customFormat="1"/>
    <row r="605" spans="2:5" s="38" customFormat="1"/>
    <row r="606" spans="2:5" s="38" customFormat="1"/>
    <row r="607" spans="2:5" s="38" customFormat="1">
      <c r="B607" s="39"/>
      <c r="E607" s="40"/>
    </row>
    <row r="608" spans="2:5" s="38" customFormat="1"/>
    <row r="609" spans="2:2" s="38" customFormat="1"/>
    <row r="610" spans="2:2" s="38" customFormat="1"/>
    <row r="611" spans="2:2" s="38" customFormat="1"/>
    <row r="612" spans="2:2" s="38" customFormat="1">
      <c r="B612" s="39"/>
    </row>
    <row r="613" spans="2:2" s="38" customFormat="1"/>
    <row r="614" spans="2:2" s="38" customFormat="1"/>
    <row r="615" spans="2:2" s="38" customFormat="1"/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F58C-C214-7241-A21F-8EFC79D6D51C}">
  <dimension ref="A2:K264"/>
  <sheetViews>
    <sheetView topLeftCell="A215" workbookViewId="0">
      <selection activeCell="A228" sqref="A228:XFD264"/>
    </sheetView>
  </sheetViews>
  <sheetFormatPr baseColWidth="10" defaultColWidth="10.6640625" defaultRowHeight="16"/>
  <sheetData>
    <row r="2" spans="1:8">
      <c r="A2" t="s">
        <v>58</v>
      </c>
      <c r="H2" t="s">
        <v>57</v>
      </c>
    </row>
    <row r="21" spans="1:7" ht="32">
      <c r="A21" s="1" t="s">
        <v>0</v>
      </c>
      <c r="B21" s="23" t="s">
        <v>1</v>
      </c>
      <c r="C21" s="24" t="s">
        <v>2</v>
      </c>
      <c r="D21" s="24" t="s">
        <v>3</v>
      </c>
      <c r="E21" s="25" t="s">
        <v>4</v>
      </c>
      <c r="F21" s="26" t="s">
        <v>5</v>
      </c>
      <c r="G21" s="26" t="s">
        <v>6</v>
      </c>
    </row>
    <row r="22" spans="1:7">
      <c r="A22" s="27">
        <v>2</v>
      </c>
      <c r="B22" s="28" t="s">
        <v>11</v>
      </c>
      <c r="C22" s="29" t="s">
        <v>8</v>
      </c>
      <c r="D22" s="28" t="s">
        <v>12</v>
      </c>
      <c r="E22" s="28" t="s">
        <v>10</v>
      </c>
      <c r="F22" s="29">
        <v>28</v>
      </c>
      <c r="G22" s="29">
        <v>42</v>
      </c>
    </row>
    <row r="23" spans="1:7">
      <c r="A23" s="27">
        <v>4</v>
      </c>
      <c r="B23" s="28" t="s">
        <v>11</v>
      </c>
      <c r="C23" s="29" t="s">
        <v>8</v>
      </c>
      <c r="D23" s="28" t="s">
        <v>12</v>
      </c>
      <c r="E23" s="28" t="s">
        <v>10</v>
      </c>
      <c r="F23" s="29">
        <v>45</v>
      </c>
      <c r="G23" s="29">
        <v>68</v>
      </c>
    </row>
    <row r="24" spans="1:7">
      <c r="A24" s="27">
        <v>6</v>
      </c>
      <c r="B24" s="28" t="s">
        <v>11</v>
      </c>
      <c r="C24" s="29" t="s">
        <v>8</v>
      </c>
      <c r="D24" s="29" t="s">
        <v>9</v>
      </c>
      <c r="E24" s="28" t="s">
        <v>10</v>
      </c>
      <c r="F24" s="29">
        <v>51</v>
      </c>
      <c r="G24" s="29">
        <v>52</v>
      </c>
    </row>
    <row r="25" spans="1:7">
      <c r="A25" s="27">
        <v>9</v>
      </c>
      <c r="B25" s="28" t="s">
        <v>11</v>
      </c>
      <c r="C25" s="29" t="s">
        <v>8</v>
      </c>
      <c r="D25" s="28" t="s">
        <v>12</v>
      </c>
      <c r="E25" s="28" t="s">
        <v>10</v>
      </c>
      <c r="F25" s="29">
        <v>65</v>
      </c>
      <c r="G25" s="29">
        <v>139</v>
      </c>
    </row>
    <row r="26" spans="1:7">
      <c r="A26" s="27">
        <v>16</v>
      </c>
      <c r="B26" s="28" t="s">
        <v>11</v>
      </c>
      <c r="C26" s="29" t="s">
        <v>8</v>
      </c>
      <c r="D26" s="28" t="s">
        <v>12</v>
      </c>
      <c r="E26" s="28" t="s">
        <v>10</v>
      </c>
      <c r="F26" s="29">
        <v>75</v>
      </c>
      <c r="G26" s="29">
        <v>110</v>
      </c>
    </row>
    <row r="27" spans="1:7">
      <c r="A27" s="27">
        <v>18</v>
      </c>
      <c r="B27" s="28" t="s">
        <v>11</v>
      </c>
      <c r="C27" s="29" t="s">
        <v>8</v>
      </c>
      <c r="D27" s="29" t="s">
        <v>9</v>
      </c>
      <c r="E27" s="28" t="s">
        <v>10</v>
      </c>
      <c r="F27" s="29">
        <v>79</v>
      </c>
      <c r="G27" s="29">
        <v>142</v>
      </c>
    </row>
    <row r="28" spans="1:7">
      <c r="A28" s="27">
        <v>20</v>
      </c>
      <c r="B28" s="28" t="s">
        <v>11</v>
      </c>
      <c r="C28" s="28" t="s">
        <v>15</v>
      </c>
      <c r="D28" s="29" t="s">
        <v>9</v>
      </c>
      <c r="E28" s="28" t="s">
        <v>10</v>
      </c>
      <c r="F28" s="28">
        <v>80</v>
      </c>
      <c r="G28" s="28">
        <v>260</v>
      </c>
    </row>
    <row r="29" spans="1:7">
      <c r="A29" s="27">
        <v>22</v>
      </c>
      <c r="B29" s="28" t="s">
        <v>11</v>
      </c>
      <c r="C29" s="29" t="s">
        <v>8</v>
      </c>
      <c r="D29" s="29" t="s">
        <v>9</v>
      </c>
      <c r="E29" s="28" t="s">
        <v>10</v>
      </c>
      <c r="F29" s="29">
        <v>81</v>
      </c>
      <c r="G29" s="29">
        <v>190</v>
      </c>
    </row>
    <row r="30" spans="1:7">
      <c r="A30" s="27">
        <v>28</v>
      </c>
      <c r="B30" s="28" t="s">
        <v>11</v>
      </c>
      <c r="C30" s="29" t="s">
        <v>8</v>
      </c>
      <c r="D30" s="29" t="s">
        <v>9</v>
      </c>
      <c r="E30" s="28" t="s">
        <v>10</v>
      </c>
      <c r="F30" s="29">
        <v>87</v>
      </c>
      <c r="G30" s="29">
        <v>170</v>
      </c>
    </row>
    <row r="31" spans="1:7">
      <c r="A31" s="27">
        <v>29</v>
      </c>
      <c r="B31" s="28" t="s">
        <v>11</v>
      </c>
      <c r="C31" s="29" t="s">
        <v>8</v>
      </c>
      <c r="D31" s="29" t="s">
        <v>9</v>
      </c>
      <c r="E31" s="28" t="s">
        <v>10</v>
      </c>
      <c r="F31" s="29">
        <v>90</v>
      </c>
      <c r="G31" s="29">
        <v>189</v>
      </c>
    </row>
    <row r="32" spans="1:7">
      <c r="A32" s="27">
        <v>31</v>
      </c>
      <c r="B32" s="28" t="s">
        <v>11</v>
      </c>
      <c r="C32" s="28" t="s">
        <v>17</v>
      </c>
      <c r="D32" s="28" t="s">
        <v>12</v>
      </c>
      <c r="E32" s="28" t="s">
        <v>10</v>
      </c>
      <c r="F32" s="29">
        <v>92</v>
      </c>
      <c r="G32" s="29">
        <v>195</v>
      </c>
    </row>
    <row r="33" spans="1:7">
      <c r="A33" s="27">
        <v>34</v>
      </c>
      <c r="B33" s="28" t="s">
        <v>11</v>
      </c>
      <c r="C33" s="29" t="s">
        <v>8</v>
      </c>
      <c r="D33" s="29" t="s">
        <v>9</v>
      </c>
      <c r="E33" s="28" t="s">
        <v>10</v>
      </c>
      <c r="F33" s="29">
        <v>102</v>
      </c>
      <c r="G33" s="29">
        <v>200</v>
      </c>
    </row>
    <row r="34" spans="1:7">
      <c r="A34" s="27">
        <v>42</v>
      </c>
      <c r="B34" s="28" t="s">
        <v>11</v>
      </c>
      <c r="C34" s="29" t="s">
        <v>8</v>
      </c>
      <c r="D34" s="29" t="s">
        <v>9</v>
      </c>
      <c r="E34" s="28" t="s">
        <v>16</v>
      </c>
      <c r="F34" s="29">
        <v>115</v>
      </c>
      <c r="G34" s="29">
        <v>285</v>
      </c>
    </row>
    <row r="35" spans="1:7">
      <c r="A35" s="27">
        <v>50</v>
      </c>
      <c r="B35" s="28" t="s">
        <v>11</v>
      </c>
      <c r="C35" s="29" t="s">
        <v>8</v>
      </c>
      <c r="D35" s="28" t="s">
        <v>12</v>
      </c>
      <c r="E35" s="28" t="s">
        <v>10</v>
      </c>
      <c r="F35" s="29">
        <v>127</v>
      </c>
      <c r="G35" s="29">
        <v>215</v>
      </c>
    </row>
    <row r="36" spans="1:7">
      <c r="A36" s="27">
        <v>53</v>
      </c>
      <c r="B36" s="28" t="s">
        <v>11</v>
      </c>
      <c r="C36" s="29" t="s">
        <v>8</v>
      </c>
      <c r="D36" s="29" t="s">
        <v>9</v>
      </c>
      <c r="E36" s="28" t="s">
        <v>10</v>
      </c>
      <c r="F36" s="29">
        <v>136</v>
      </c>
      <c r="G36" s="29">
        <v>220</v>
      </c>
    </row>
    <row r="37" spans="1:7">
      <c r="A37" s="27">
        <v>56</v>
      </c>
      <c r="B37" s="28" t="s">
        <v>11</v>
      </c>
      <c r="C37" s="29" t="s">
        <v>8</v>
      </c>
      <c r="D37" s="29" t="s">
        <v>9</v>
      </c>
      <c r="E37" s="28" t="s">
        <v>10</v>
      </c>
      <c r="F37" s="29">
        <v>148</v>
      </c>
      <c r="G37" s="29">
        <v>186</v>
      </c>
    </row>
    <row r="38" spans="1:7">
      <c r="A38" s="27">
        <v>57</v>
      </c>
      <c r="B38" s="28" t="s">
        <v>11</v>
      </c>
      <c r="C38" s="29" t="s">
        <v>8</v>
      </c>
      <c r="D38" s="29" t="s">
        <v>9</v>
      </c>
      <c r="E38" s="28" t="s">
        <v>10</v>
      </c>
      <c r="F38" s="29">
        <v>152</v>
      </c>
      <c r="G38" s="29">
        <v>237</v>
      </c>
    </row>
    <row r="39" spans="1:7">
      <c r="A39" s="27">
        <v>62</v>
      </c>
      <c r="B39" s="28" t="s">
        <v>11</v>
      </c>
      <c r="C39" s="29" t="s">
        <v>8</v>
      </c>
      <c r="D39" s="29" t="s">
        <v>9</v>
      </c>
      <c r="E39" s="28" t="s">
        <v>10</v>
      </c>
      <c r="F39" s="29">
        <v>160</v>
      </c>
      <c r="G39" s="29">
        <v>242</v>
      </c>
    </row>
    <row r="40" spans="1:7">
      <c r="A40" s="27">
        <v>65</v>
      </c>
      <c r="B40" s="28" t="s">
        <v>11</v>
      </c>
      <c r="C40" s="29" t="s">
        <v>8</v>
      </c>
      <c r="D40" s="29" t="s">
        <v>9</v>
      </c>
      <c r="E40" s="28" t="s">
        <v>10</v>
      </c>
      <c r="F40" s="29">
        <v>169</v>
      </c>
      <c r="G40" s="29">
        <v>215</v>
      </c>
    </row>
    <row r="41" spans="1:7">
      <c r="A41" s="27">
        <v>67</v>
      </c>
      <c r="B41" s="28" t="s">
        <v>11</v>
      </c>
      <c r="C41" s="29" t="s">
        <v>8</v>
      </c>
      <c r="D41" s="29" t="s">
        <v>9</v>
      </c>
      <c r="E41" s="28" t="s">
        <v>16</v>
      </c>
      <c r="F41" s="29">
        <v>178</v>
      </c>
      <c r="G41" s="29">
        <v>290</v>
      </c>
    </row>
    <row r="43" spans="1:7">
      <c r="A43" t="s">
        <v>18</v>
      </c>
    </row>
    <row r="44" spans="1:7" ht="20">
      <c r="A44" s="13" t="s">
        <v>19</v>
      </c>
    </row>
    <row r="45" spans="1:7" ht="17">
      <c r="A45" s="14" t="s">
        <v>20</v>
      </c>
      <c r="B45" s="14" t="s">
        <v>21</v>
      </c>
      <c r="C45" s="14" t="s">
        <v>22</v>
      </c>
      <c r="D45" s="14" t="s">
        <v>23</v>
      </c>
      <c r="E45" s="14" t="s">
        <v>24</v>
      </c>
      <c r="F45" s="14" t="s">
        <v>25</v>
      </c>
      <c r="G45" s="14" t="s">
        <v>26</v>
      </c>
    </row>
    <row r="46" spans="1:7" ht="17">
      <c r="A46" s="14" t="s">
        <v>5</v>
      </c>
      <c r="B46" s="14">
        <v>20</v>
      </c>
      <c r="C46" s="14">
        <v>103</v>
      </c>
      <c r="D46" s="14">
        <v>43.238999999999997</v>
      </c>
      <c r="E46" s="14">
        <v>28</v>
      </c>
      <c r="F46" s="14">
        <v>91</v>
      </c>
      <c r="G46" s="14">
        <v>178</v>
      </c>
    </row>
    <row r="48" spans="1:7" ht="20">
      <c r="A48" s="13" t="s">
        <v>19</v>
      </c>
    </row>
    <row r="49" spans="1:7" ht="17">
      <c r="A49" s="14" t="s">
        <v>20</v>
      </c>
      <c r="B49" s="14" t="s">
        <v>21</v>
      </c>
      <c r="C49" s="14" t="s">
        <v>22</v>
      </c>
      <c r="D49" s="14" t="s">
        <v>23</v>
      </c>
      <c r="E49" s="14" t="s">
        <v>24</v>
      </c>
      <c r="F49" s="14" t="s">
        <v>25</v>
      </c>
      <c r="G49" s="14" t="s">
        <v>26</v>
      </c>
    </row>
    <row r="50" spans="1:7" ht="17">
      <c r="A50" s="14" t="s">
        <v>6</v>
      </c>
      <c r="B50" s="14">
        <v>20</v>
      </c>
      <c r="C50" s="14">
        <v>182.35</v>
      </c>
      <c r="D50" s="14">
        <v>71.63</v>
      </c>
      <c r="E50" s="14">
        <v>42</v>
      </c>
      <c r="F50" s="14">
        <v>192.5</v>
      </c>
      <c r="G50" s="14">
        <v>290</v>
      </c>
    </row>
    <row r="53" spans="1:7">
      <c r="A53" t="s">
        <v>28</v>
      </c>
    </row>
    <row r="54" spans="1:7" ht="20">
      <c r="A54" s="13" t="s">
        <v>29</v>
      </c>
    </row>
    <row r="55" spans="1:7" ht="17">
      <c r="A55" s="14" t="s">
        <v>30</v>
      </c>
      <c r="B55" s="14" t="s">
        <v>6</v>
      </c>
      <c r="C55" s="14"/>
      <c r="D55" s="14"/>
      <c r="E55" s="14"/>
      <c r="F55" s="14"/>
    </row>
    <row r="56" spans="1:7" ht="17">
      <c r="A56" s="14">
        <v>7</v>
      </c>
      <c r="B56" s="14">
        <v>260</v>
      </c>
      <c r="C56" s="14"/>
      <c r="D56" s="14"/>
      <c r="E56" s="14"/>
      <c r="F56" s="14"/>
    </row>
    <row r="58" spans="1:7" ht="32">
      <c r="A58" s="1" t="s">
        <v>0</v>
      </c>
      <c r="B58" s="23" t="s">
        <v>1</v>
      </c>
      <c r="C58" s="24" t="s">
        <v>2</v>
      </c>
      <c r="D58" s="24" t="s">
        <v>3</v>
      </c>
      <c r="E58" s="25" t="s">
        <v>4</v>
      </c>
      <c r="F58" s="26" t="s">
        <v>5</v>
      </c>
      <c r="G58" s="26" t="s">
        <v>6</v>
      </c>
    </row>
    <row r="59" spans="1:7">
      <c r="A59" s="27">
        <v>2</v>
      </c>
      <c r="B59" s="28" t="s">
        <v>11</v>
      </c>
      <c r="C59" s="29" t="s">
        <v>8</v>
      </c>
      <c r="D59" s="28" t="s">
        <v>12</v>
      </c>
      <c r="E59" s="28" t="s">
        <v>10</v>
      </c>
      <c r="F59" s="29">
        <v>28</v>
      </c>
      <c r="G59" s="29">
        <v>42</v>
      </c>
    </row>
    <row r="60" spans="1:7">
      <c r="A60" s="27">
        <v>4</v>
      </c>
      <c r="B60" s="28" t="s">
        <v>11</v>
      </c>
      <c r="C60" s="29" t="s">
        <v>8</v>
      </c>
      <c r="D60" s="28" t="s">
        <v>12</v>
      </c>
      <c r="E60" s="28" t="s">
        <v>10</v>
      </c>
      <c r="F60" s="29">
        <v>45</v>
      </c>
      <c r="G60" s="29">
        <v>68</v>
      </c>
    </row>
    <row r="61" spans="1:7">
      <c r="A61" s="27">
        <v>6</v>
      </c>
      <c r="B61" s="28" t="s">
        <v>11</v>
      </c>
      <c r="C61" s="29" t="s">
        <v>8</v>
      </c>
      <c r="D61" s="29" t="s">
        <v>9</v>
      </c>
      <c r="E61" s="28" t="s">
        <v>10</v>
      </c>
      <c r="F61" s="29">
        <v>51</v>
      </c>
      <c r="G61" s="29">
        <v>52</v>
      </c>
    </row>
    <row r="62" spans="1:7">
      <c r="A62" s="27">
        <v>9</v>
      </c>
      <c r="B62" s="28" t="s">
        <v>11</v>
      </c>
      <c r="C62" s="29" t="s">
        <v>8</v>
      </c>
      <c r="D62" s="28" t="s">
        <v>12</v>
      </c>
      <c r="E62" s="28" t="s">
        <v>10</v>
      </c>
      <c r="F62" s="29">
        <v>65</v>
      </c>
      <c r="G62" s="29">
        <v>139</v>
      </c>
    </row>
    <row r="63" spans="1:7">
      <c r="A63" s="27">
        <v>16</v>
      </c>
      <c r="B63" s="28" t="s">
        <v>11</v>
      </c>
      <c r="C63" s="29" t="s">
        <v>8</v>
      </c>
      <c r="D63" s="28" t="s">
        <v>12</v>
      </c>
      <c r="E63" s="28" t="s">
        <v>10</v>
      </c>
      <c r="F63" s="29">
        <v>75</v>
      </c>
      <c r="G63" s="29">
        <v>110</v>
      </c>
    </row>
    <row r="64" spans="1:7">
      <c r="A64" s="27">
        <v>18</v>
      </c>
      <c r="B64" s="28" t="s">
        <v>11</v>
      </c>
      <c r="C64" s="29" t="s">
        <v>8</v>
      </c>
      <c r="D64" s="29" t="s">
        <v>9</v>
      </c>
      <c r="E64" s="28" t="s">
        <v>10</v>
      </c>
      <c r="F64" s="29">
        <v>79</v>
      </c>
      <c r="G64" s="29">
        <v>142</v>
      </c>
    </row>
    <row r="65" spans="1:8">
      <c r="A65" s="27">
        <v>20</v>
      </c>
      <c r="B65" s="28" t="s">
        <v>11</v>
      </c>
      <c r="C65" s="28" t="s">
        <v>15</v>
      </c>
      <c r="D65" s="29" t="s">
        <v>9</v>
      </c>
      <c r="E65" s="28" t="s">
        <v>10</v>
      </c>
      <c r="F65" s="28">
        <v>80</v>
      </c>
      <c r="G65" s="28">
        <v>260</v>
      </c>
      <c r="H65" s="32" t="s">
        <v>31</v>
      </c>
    </row>
    <row r="66" spans="1:8">
      <c r="A66" s="27">
        <v>22</v>
      </c>
      <c r="B66" s="28" t="s">
        <v>11</v>
      </c>
      <c r="C66" s="29" t="s">
        <v>8</v>
      </c>
      <c r="D66" s="29" t="s">
        <v>9</v>
      </c>
      <c r="E66" s="28" t="s">
        <v>10</v>
      </c>
      <c r="F66" s="29">
        <v>81</v>
      </c>
      <c r="G66" s="29">
        <v>190</v>
      </c>
    </row>
    <row r="67" spans="1:8">
      <c r="A67" s="27">
        <v>28</v>
      </c>
      <c r="B67" s="28" t="s">
        <v>11</v>
      </c>
      <c r="C67" s="29" t="s">
        <v>8</v>
      </c>
      <c r="D67" s="29" t="s">
        <v>9</v>
      </c>
      <c r="E67" s="28" t="s">
        <v>10</v>
      </c>
      <c r="F67" s="29">
        <v>87</v>
      </c>
      <c r="G67" s="29">
        <v>170</v>
      </c>
    </row>
    <row r="68" spans="1:8">
      <c r="A68" s="27">
        <v>29</v>
      </c>
      <c r="B68" s="28" t="s">
        <v>11</v>
      </c>
      <c r="C68" s="29" t="s">
        <v>8</v>
      </c>
      <c r="D68" s="29" t="s">
        <v>9</v>
      </c>
      <c r="E68" s="28" t="s">
        <v>10</v>
      </c>
      <c r="F68" s="29">
        <v>90</v>
      </c>
      <c r="G68" s="29">
        <v>189</v>
      </c>
    </row>
    <row r="69" spans="1:8">
      <c r="A69" s="27">
        <v>31</v>
      </c>
      <c r="B69" s="28" t="s">
        <v>11</v>
      </c>
      <c r="C69" s="28" t="s">
        <v>17</v>
      </c>
      <c r="D69" s="28" t="s">
        <v>12</v>
      </c>
      <c r="E69" s="28" t="s">
        <v>10</v>
      </c>
      <c r="F69" s="29">
        <v>92</v>
      </c>
      <c r="G69" s="29">
        <v>195</v>
      </c>
    </row>
    <row r="70" spans="1:8">
      <c r="A70" s="27">
        <v>34</v>
      </c>
      <c r="B70" s="28" t="s">
        <v>11</v>
      </c>
      <c r="C70" s="29" t="s">
        <v>8</v>
      </c>
      <c r="D70" s="29" t="s">
        <v>9</v>
      </c>
      <c r="E70" s="28" t="s">
        <v>10</v>
      </c>
      <c r="F70" s="29">
        <v>102</v>
      </c>
      <c r="G70" s="29">
        <v>200</v>
      </c>
    </row>
    <row r="71" spans="1:8">
      <c r="A71" s="27">
        <v>42</v>
      </c>
      <c r="B71" s="28" t="s">
        <v>11</v>
      </c>
      <c r="C71" s="29" t="s">
        <v>8</v>
      </c>
      <c r="D71" s="29" t="s">
        <v>9</v>
      </c>
      <c r="E71" s="28" t="s">
        <v>16</v>
      </c>
      <c r="F71" s="29">
        <v>115</v>
      </c>
      <c r="G71" s="29">
        <v>285</v>
      </c>
    </row>
    <row r="72" spans="1:8">
      <c r="A72" s="27">
        <v>50</v>
      </c>
      <c r="B72" s="28" t="s">
        <v>11</v>
      </c>
      <c r="C72" s="29" t="s">
        <v>8</v>
      </c>
      <c r="D72" s="28" t="s">
        <v>12</v>
      </c>
      <c r="E72" s="28" t="s">
        <v>10</v>
      </c>
      <c r="F72" s="29">
        <v>127</v>
      </c>
      <c r="G72" s="29">
        <v>215</v>
      </c>
    </row>
    <row r="73" spans="1:8">
      <c r="A73" s="27">
        <v>53</v>
      </c>
      <c r="B73" s="28" t="s">
        <v>11</v>
      </c>
      <c r="C73" s="29" t="s">
        <v>8</v>
      </c>
      <c r="D73" s="29" t="s">
        <v>9</v>
      </c>
      <c r="E73" s="28" t="s">
        <v>10</v>
      </c>
      <c r="F73" s="29">
        <v>136</v>
      </c>
      <c r="G73" s="29">
        <v>220</v>
      </c>
    </row>
    <row r="74" spans="1:8">
      <c r="A74" s="27">
        <v>56</v>
      </c>
      <c r="B74" s="28" t="s">
        <v>11</v>
      </c>
      <c r="C74" s="29" t="s">
        <v>8</v>
      </c>
      <c r="D74" s="29" t="s">
        <v>9</v>
      </c>
      <c r="E74" s="28" t="s">
        <v>10</v>
      </c>
      <c r="F74" s="29">
        <v>148</v>
      </c>
      <c r="G74" s="29">
        <v>186</v>
      </c>
    </row>
    <row r="75" spans="1:8">
      <c r="A75" s="27">
        <v>57</v>
      </c>
      <c r="B75" s="28" t="s">
        <v>11</v>
      </c>
      <c r="C75" s="29" t="s">
        <v>8</v>
      </c>
      <c r="D75" s="29" t="s">
        <v>9</v>
      </c>
      <c r="E75" s="28" t="s">
        <v>10</v>
      </c>
      <c r="F75" s="29">
        <v>152</v>
      </c>
      <c r="G75" s="29">
        <v>237</v>
      </c>
    </row>
    <row r="76" spans="1:8">
      <c r="A76" s="27">
        <v>62</v>
      </c>
      <c r="B76" s="28" t="s">
        <v>11</v>
      </c>
      <c r="C76" s="29" t="s">
        <v>8</v>
      </c>
      <c r="D76" s="29" t="s">
        <v>9</v>
      </c>
      <c r="E76" s="28" t="s">
        <v>10</v>
      </c>
      <c r="F76" s="29">
        <v>160</v>
      </c>
      <c r="G76" s="29">
        <v>242</v>
      </c>
    </row>
    <row r="77" spans="1:8">
      <c r="A77" s="27">
        <v>65</v>
      </c>
      <c r="B77" s="28" t="s">
        <v>11</v>
      </c>
      <c r="C77" s="29" t="s">
        <v>8</v>
      </c>
      <c r="D77" s="29" t="s">
        <v>9</v>
      </c>
      <c r="E77" s="28" t="s">
        <v>10</v>
      </c>
      <c r="F77" s="29">
        <v>169</v>
      </c>
      <c r="G77" s="29">
        <v>215</v>
      </c>
    </row>
    <row r="78" spans="1:8">
      <c r="A78" s="27">
        <v>67</v>
      </c>
      <c r="B78" s="28" t="s">
        <v>11</v>
      </c>
      <c r="C78" s="29" t="s">
        <v>8</v>
      </c>
      <c r="D78" s="29" t="s">
        <v>9</v>
      </c>
      <c r="E78" s="28" t="s">
        <v>16</v>
      </c>
      <c r="F78" s="29">
        <v>178</v>
      </c>
      <c r="G78" s="29">
        <v>290</v>
      </c>
    </row>
    <row r="81" spans="1:7" ht="32">
      <c r="A81" s="1" t="s">
        <v>0</v>
      </c>
      <c r="B81" s="23" t="s">
        <v>1</v>
      </c>
      <c r="C81" s="24" t="s">
        <v>2</v>
      </c>
      <c r="D81" s="24" t="s">
        <v>3</v>
      </c>
      <c r="E81" s="25" t="s">
        <v>4</v>
      </c>
      <c r="F81" s="26" t="s">
        <v>5</v>
      </c>
      <c r="G81" s="26" t="s">
        <v>6</v>
      </c>
    </row>
    <row r="82" spans="1:7">
      <c r="A82" s="27">
        <v>2</v>
      </c>
      <c r="B82" s="28" t="s">
        <v>11</v>
      </c>
      <c r="C82" s="29" t="s">
        <v>8</v>
      </c>
      <c r="D82" s="28" t="s">
        <v>12</v>
      </c>
      <c r="E82" s="28" t="s">
        <v>10</v>
      </c>
      <c r="F82" s="29">
        <v>28</v>
      </c>
      <c r="G82" s="29">
        <v>42</v>
      </c>
    </row>
    <row r="83" spans="1:7">
      <c r="A83" s="27">
        <v>4</v>
      </c>
      <c r="B83" s="28" t="s">
        <v>11</v>
      </c>
      <c r="C83" s="29" t="s">
        <v>8</v>
      </c>
      <c r="D83" s="28" t="s">
        <v>12</v>
      </c>
      <c r="E83" s="28" t="s">
        <v>10</v>
      </c>
      <c r="F83" s="29">
        <v>45</v>
      </c>
      <c r="G83" s="29">
        <v>68</v>
      </c>
    </row>
    <row r="84" spans="1:7">
      <c r="A84" s="27">
        <v>6</v>
      </c>
      <c r="B84" s="28" t="s">
        <v>11</v>
      </c>
      <c r="C84" s="29" t="s">
        <v>8</v>
      </c>
      <c r="D84" s="29" t="s">
        <v>9</v>
      </c>
      <c r="E84" s="28" t="s">
        <v>10</v>
      </c>
      <c r="F84" s="29">
        <v>51</v>
      </c>
      <c r="G84" s="29">
        <v>52</v>
      </c>
    </row>
    <row r="85" spans="1:7">
      <c r="A85" s="27">
        <v>9</v>
      </c>
      <c r="B85" s="28" t="s">
        <v>11</v>
      </c>
      <c r="C85" s="29" t="s">
        <v>8</v>
      </c>
      <c r="D85" s="28" t="s">
        <v>12</v>
      </c>
      <c r="E85" s="28" t="s">
        <v>10</v>
      </c>
      <c r="F85" s="29">
        <v>65</v>
      </c>
      <c r="G85" s="29">
        <v>139</v>
      </c>
    </row>
    <row r="86" spans="1:7">
      <c r="A86" s="27">
        <v>16</v>
      </c>
      <c r="B86" s="28" t="s">
        <v>11</v>
      </c>
      <c r="C86" s="29" t="s">
        <v>8</v>
      </c>
      <c r="D86" s="28" t="s">
        <v>12</v>
      </c>
      <c r="E86" s="28" t="s">
        <v>10</v>
      </c>
      <c r="F86" s="29">
        <v>75</v>
      </c>
      <c r="G86" s="29">
        <v>110</v>
      </c>
    </row>
    <row r="87" spans="1:7">
      <c r="A87" s="27">
        <v>18</v>
      </c>
      <c r="B87" s="28" t="s">
        <v>11</v>
      </c>
      <c r="C87" s="29" t="s">
        <v>8</v>
      </c>
      <c r="D87" s="29" t="s">
        <v>9</v>
      </c>
      <c r="E87" s="28" t="s">
        <v>10</v>
      </c>
      <c r="F87" s="29">
        <v>79</v>
      </c>
      <c r="G87" s="29">
        <v>142</v>
      </c>
    </row>
    <row r="88" spans="1:7">
      <c r="A88" s="27">
        <v>22</v>
      </c>
      <c r="B88" s="28" t="s">
        <v>11</v>
      </c>
      <c r="C88" s="29" t="s">
        <v>8</v>
      </c>
      <c r="D88" s="29" t="s">
        <v>9</v>
      </c>
      <c r="E88" s="28" t="s">
        <v>10</v>
      </c>
      <c r="F88" s="29">
        <v>81</v>
      </c>
      <c r="G88" s="29">
        <v>190</v>
      </c>
    </row>
    <row r="89" spans="1:7">
      <c r="A89" s="27">
        <v>28</v>
      </c>
      <c r="B89" s="28" t="s">
        <v>11</v>
      </c>
      <c r="C89" s="29" t="s">
        <v>8</v>
      </c>
      <c r="D89" s="29" t="s">
        <v>9</v>
      </c>
      <c r="E89" s="28" t="s">
        <v>10</v>
      </c>
      <c r="F89" s="29">
        <v>87</v>
      </c>
      <c r="G89" s="29">
        <v>170</v>
      </c>
    </row>
    <row r="90" spans="1:7">
      <c r="A90" s="27">
        <v>29</v>
      </c>
      <c r="B90" s="28" t="s">
        <v>11</v>
      </c>
      <c r="C90" s="29" t="s">
        <v>8</v>
      </c>
      <c r="D90" s="29" t="s">
        <v>9</v>
      </c>
      <c r="E90" s="28" t="s">
        <v>10</v>
      </c>
      <c r="F90" s="29">
        <v>90</v>
      </c>
      <c r="G90" s="29">
        <v>189</v>
      </c>
    </row>
    <row r="91" spans="1:7">
      <c r="A91" s="27">
        <v>31</v>
      </c>
      <c r="B91" s="28" t="s">
        <v>11</v>
      </c>
      <c r="C91" s="28" t="s">
        <v>17</v>
      </c>
      <c r="D91" s="28" t="s">
        <v>12</v>
      </c>
      <c r="E91" s="28" t="s">
        <v>10</v>
      </c>
      <c r="F91" s="29">
        <v>92</v>
      </c>
      <c r="G91" s="29">
        <v>195</v>
      </c>
    </row>
    <row r="92" spans="1:7">
      <c r="A92" s="27">
        <v>34</v>
      </c>
      <c r="B92" s="28" t="s">
        <v>11</v>
      </c>
      <c r="C92" s="29" t="s">
        <v>8</v>
      </c>
      <c r="D92" s="29" t="s">
        <v>9</v>
      </c>
      <c r="E92" s="28" t="s">
        <v>10</v>
      </c>
      <c r="F92" s="29">
        <v>102</v>
      </c>
      <c r="G92" s="29">
        <v>200</v>
      </c>
    </row>
    <row r="93" spans="1:7">
      <c r="A93" s="27">
        <v>42</v>
      </c>
      <c r="B93" s="28" t="s">
        <v>11</v>
      </c>
      <c r="C93" s="29" t="s">
        <v>8</v>
      </c>
      <c r="D93" s="29" t="s">
        <v>9</v>
      </c>
      <c r="E93" s="28" t="s">
        <v>16</v>
      </c>
      <c r="F93" s="29">
        <v>115</v>
      </c>
      <c r="G93" s="29">
        <v>285</v>
      </c>
    </row>
    <row r="94" spans="1:7">
      <c r="A94" s="27">
        <v>50</v>
      </c>
      <c r="B94" s="28" t="s">
        <v>11</v>
      </c>
      <c r="C94" s="29" t="s">
        <v>8</v>
      </c>
      <c r="D94" s="28" t="s">
        <v>12</v>
      </c>
      <c r="E94" s="28" t="s">
        <v>10</v>
      </c>
      <c r="F94" s="29">
        <v>127</v>
      </c>
      <c r="G94" s="29">
        <v>215</v>
      </c>
    </row>
    <row r="95" spans="1:7">
      <c r="A95" s="27">
        <v>53</v>
      </c>
      <c r="B95" s="28" t="s">
        <v>11</v>
      </c>
      <c r="C95" s="29" t="s">
        <v>8</v>
      </c>
      <c r="D95" s="29" t="s">
        <v>9</v>
      </c>
      <c r="E95" s="28" t="s">
        <v>10</v>
      </c>
      <c r="F95" s="29">
        <v>136</v>
      </c>
      <c r="G95" s="29">
        <v>220</v>
      </c>
    </row>
    <row r="96" spans="1:7">
      <c r="A96" s="27">
        <v>56</v>
      </c>
      <c r="B96" s="28" t="s">
        <v>11</v>
      </c>
      <c r="C96" s="29" t="s">
        <v>8</v>
      </c>
      <c r="D96" s="29" t="s">
        <v>9</v>
      </c>
      <c r="E96" s="28" t="s">
        <v>10</v>
      </c>
      <c r="F96" s="29">
        <v>148</v>
      </c>
      <c r="G96" s="29">
        <v>186</v>
      </c>
    </row>
    <row r="97" spans="1:7">
      <c r="A97" s="27">
        <v>57</v>
      </c>
      <c r="B97" s="28" t="s">
        <v>11</v>
      </c>
      <c r="C97" s="29" t="s">
        <v>8</v>
      </c>
      <c r="D97" s="29" t="s">
        <v>9</v>
      </c>
      <c r="E97" s="28" t="s">
        <v>10</v>
      </c>
      <c r="F97" s="29">
        <v>152</v>
      </c>
      <c r="G97" s="29">
        <v>237</v>
      </c>
    </row>
    <row r="98" spans="1:7">
      <c r="A98" s="27">
        <v>62</v>
      </c>
      <c r="B98" s="28" t="s">
        <v>11</v>
      </c>
      <c r="C98" s="29" t="s">
        <v>8</v>
      </c>
      <c r="D98" s="29" t="s">
        <v>9</v>
      </c>
      <c r="E98" s="28" t="s">
        <v>10</v>
      </c>
      <c r="F98" s="29">
        <v>160</v>
      </c>
      <c r="G98" s="29">
        <v>242</v>
      </c>
    </row>
    <row r="99" spans="1:7">
      <c r="A99" s="27">
        <v>65</v>
      </c>
      <c r="B99" s="28" t="s">
        <v>11</v>
      </c>
      <c r="C99" s="29" t="s">
        <v>8</v>
      </c>
      <c r="D99" s="29" t="s">
        <v>9</v>
      </c>
      <c r="E99" s="28" t="s">
        <v>10</v>
      </c>
      <c r="F99" s="29">
        <v>169</v>
      </c>
      <c r="G99" s="29">
        <v>215</v>
      </c>
    </row>
    <row r="100" spans="1:7">
      <c r="A100" s="27">
        <v>67</v>
      </c>
      <c r="B100" s="28" t="s">
        <v>11</v>
      </c>
      <c r="C100" s="29" t="s">
        <v>8</v>
      </c>
      <c r="D100" s="29" t="s">
        <v>9</v>
      </c>
      <c r="E100" s="28" t="s">
        <v>16</v>
      </c>
      <c r="F100" s="29">
        <v>178</v>
      </c>
      <c r="G100" s="29">
        <v>290</v>
      </c>
    </row>
    <row r="102" spans="1:7">
      <c r="A102" t="s">
        <v>28</v>
      </c>
    </row>
    <row r="103" spans="1:7" ht="20">
      <c r="A103" s="13" t="s">
        <v>29</v>
      </c>
    </row>
    <row r="104" spans="1:7" ht="17">
      <c r="A104" s="14" t="s">
        <v>30</v>
      </c>
      <c r="B104" s="14" t="s">
        <v>6</v>
      </c>
      <c r="C104" s="14"/>
      <c r="D104" s="14"/>
      <c r="E104" s="14"/>
      <c r="F104" s="14"/>
    </row>
    <row r="105" spans="1:7" ht="17">
      <c r="A105" s="14">
        <v>12</v>
      </c>
      <c r="B105" s="14">
        <v>285</v>
      </c>
      <c r="C105" s="14"/>
      <c r="D105" s="14"/>
      <c r="E105" s="14"/>
      <c r="F105" s="14"/>
    </row>
    <row r="107" spans="1:7" ht="32">
      <c r="A107" s="1" t="s">
        <v>0</v>
      </c>
      <c r="B107" s="23" t="s">
        <v>1</v>
      </c>
      <c r="C107" s="24" t="s">
        <v>2</v>
      </c>
      <c r="D107" s="24" t="s">
        <v>3</v>
      </c>
      <c r="E107" s="25" t="s">
        <v>4</v>
      </c>
      <c r="F107" s="26" t="s">
        <v>5</v>
      </c>
      <c r="G107" s="26" t="s">
        <v>6</v>
      </c>
    </row>
    <row r="108" spans="1:7">
      <c r="A108" s="27">
        <v>2</v>
      </c>
      <c r="B108" s="28" t="s">
        <v>11</v>
      </c>
      <c r="C108" s="29" t="s">
        <v>8</v>
      </c>
      <c r="D108" s="28" t="s">
        <v>12</v>
      </c>
      <c r="E108" s="28" t="s">
        <v>10</v>
      </c>
      <c r="F108" s="29">
        <v>28</v>
      </c>
      <c r="G108" s="29">
        <v>42</v>
      </c>
    </row>
    <row r="109" spans="1:7">
      <c r="A109" s="27">
        <v>4</v>
      </c>
      <c r="B109" s="28" t="s">
        <v>11</v>
      </c>
      <c r="C109" s="29" t="s">
        <v>8</v>
      </c>
      <c r="D109" s="28" t="s">
        <v>12</v>
      </c>
      <c r="E109" s="28" t="s">
        <v>10</v>
      </c>
      <c r="F109" s="29">
        <v>45</v>
      </c>
      <c r="G109" s="29">
        <v>68</v>
      </c>
    </row>
    <row r="110" spans="1:7">
      <c r="A110" s="27">
        <v>6</v>
      </c>
      <c r="B110" s="28" t="s">
        <v>11</v>
      </c>
      <c r="C110" s="29" t="s">
        <v>8</v>
      </c>
      <c r="D110" s="29" t="s">
        <v>9</v>
      </c>
      <c r="E110" s="28" t="s">
        <v>10</v>
      </c>
      <c r="F110" s="29">
        <v>51</v>
      </c>
      <c r="G110" s="29">
        <v>52</v>
      </c>
    </row>
    <row r="111" spans="1:7">
      <c r="A111" s="27">
        <v>9</v>
      </c>
      <c r="B111" s="28" t="s">
        <v>11</v>
      </c>
      <c r="C111" s="29" t="s">
        <v>8</v>
      </c>
      <c r="D111" s="28" t="s">
        <v>12</v>
      </c>
      <c r="E111" s="28" t="s">
        <v>10</v>
      </c>
      <c r="F111" s="29">
        <v>65</v>
      </c>
      <c r="G111" s="29">
        <v>139</v>
      </c>
    </row>
    <row r="112" spans="1:7">
      <c r="A112" s="27">
        <v>16</v>
      </c>
      <c r="B112" s="28" t="s">
        <v>11</v>
      </c>
      <c r="C112" s="29" t="s">
        <v>8</v>
      </c>
      <c r="D112" s="28" t="s">
        <v>12</v>
      </c>
      <c r="E112" s="28" t="s">
        <v>10</v>
      </c>
      <c r="F112" s="29">
        <v>75</v>
      </c>
      <c r="G112" s="29">
        <v>110</v>
      </c>
    </row>
    <row r="113" spans="1:8">
      <c r="A113" s="27">
        <v>18</v>
      </c>
      <c r="B113" s="28" t="s">
        <v>11</v>
      </c>
      <c r="C113" s="29" t="s">
        <v>8</v>
      </c>
      <c r="D113" s="29" t="s">
        <v>9</v>
      </c>
      <c r="E113" s="28" t="s">
        <v>10</v>
      </c>
      <c r="F113" s="29">
        <v>79</v>
      </c>
      <c r="G113" s="29">
        <v>142</v>
      </c>
    </row>
    <row r="114" spans="1:8">
      <c r="A114" s="27">
        <v>22</v>
      </c>
      <c r="B114" s="28" t="s">
        <v>11</v>
      </c>
      <c r="C114" s="29" t="s">
        <v>8</v>
      </c>
      <c r="D114" s="29" t="s">
        <v>9</v>
      </c>
      <c r="E114" s="28" t="s">
        <v>10</v>
      </c>
      <c r="F114" s="29">
        <v>81</v>
      </c>
      <c r="G114" s="29">
        <v>190</v>
      </c>
    </row>
    <row r="115" spans="1:8">
      <c r="A115" s="27">
        <v>28</v>
      </c>
      <c r="B115" s="28" t="s">
        <v>11</v>
      </c>
      <c r="C115" s="29" t="s">
        <v>8</v>
      </c>
      <c r="D115" s="29" t="s">
        <v>9</v>
      </c>
      <c r="E115" s="28" t="s">
        <v>10</v>
      </c>
      <c r="F115" s="29">
        <v>87</v>
      </c>
      <c r="G115" s="29">
        <v>170</v>
      </c>
    </row>
    <row r="116" spans="1:8">
      <c r="A116" s="27">
        <v>29</v>
      </c>
      <c r="B116" s="28" t="s">
        <v>11</v>
      </c>
      <c r="C116" s="29" t="s">
        <v>8</v>
      </c>
      <c r="D116" s="29" t="s">
        <v>9</v>
      </c>
      <c r="E116" s="28" t="s">
        <v>10</v>
      </c>
      <c r="F116" s="29">
        <v>90</v>
      </c>
      <c r="G116" s="29">
        <v>189</v>
      </c>
    </row>
    <row r="117" spans="1:8">
      <c r="A117" s="27">
        <v>31</v>
      </c>
      <c r="B117" s="28" t="s">
        <v>11</v>
      </c>
      <c r="C117" s="28" t="s">
        <v>17</v>
      </c>
      <c r="D117" s="28" t="s">
        <v>12</v>
      </c>
      <c r="E117" s="28" t="s">
        <v>10</v>
      </c>
      <c r="F117" s="29">
        <v>92</v>
      </c>
      <c r="G117" s="29">
        <v>195</v>
      </c>
    </row>
    <row r="118" spans="1:8">
      <c r="A118" s="27">
        <v>34</v>
      </c>
      <c r="B118" s="28" t="s">
        <v>11</v>
      </c>
      <c r="C118" s="29" t="s">
        <v>8</v>
      </c>
      <c r="D118" s="29" t="s">
        <v>9</v>
      </c>
      <c r="E118" s="28" t="s">
        <v>10</v>
      </c>
      <c r="F118" s="29">
        <v>102</v>
      </c>
      <c r="G118" s="29">
        <v>200</v>
      </c>
    </row>
    <row r="119" spans="1:8">
      <c r="A119" s="27">
        <v>42</v>
      </c>
      <c r="B119" s="28" t="s">
        <v>11</v>
      </c>
      <c r="C119" s="29" t="s">
        <v>8</v>
      </c>
      <c r="D119" s="29" t="s">
        <v>9</v>
      </c>
      <c r="E119" s="28" t="s">
        <v>16</v>
      </c>
      <c r="F119" s="29">
        <v>115</v>
      </c>
      <c r="G119" s="29">
        <v>285</v>
      </c>
      <c r="H119" s="31" t="s">
        <v>31</v>
      </c>
    </row>
    <row r="120" spans="1:8">
      <c r="A120" s="27">
        <v>50</v>
      </c>
      <c r="B120" s="28" t="s">
        <v>11</v>
      </c>
      <c r="C120" s="29" t="s">
        <v>8</v>
      </c>
      <c r="D120" s="28" t="s">
        <v>12</v>
      </c>
      <c r="E120" s="28" t="s">
        <v>10</v>
      </c>
      <c r="F120" s="29">
        <v>127</v>
      </c>
      <c r="G120" s="29">
        <v>215</v>
      </c>
    </row>
    <row r="121" spans="1:8">
      <c r="A121" s="27">
        <v>53</v>
      </c>
      <c r="B121" s="28" t="s">
        <v>11</v>
      </c>
      <c r="C121" s="29" t="s">
        <v>8</v>
      </c>
      <c r="D121" s="29" t="s">
        <v>9</v>
      </c>
      <c r="E121" s="28" t="s">
        <v>10</v>
      </c>
      <c r="F121" s="29">
        <v>136</v>
      </c>
      <c r="G121" s="29">
        <v>220</v>
      </c>
    </row>
    <row r="122" spans="1:8">
      <c r="A122" s="27">
        <v>56</v>
      </c>
      <c r="B122" s="28" t="s">
        <v>11</v>
      </c>
      <c r="C122" s="29" t="s">
        <v>8</v>
      </c>
      <c r="D122" s="29" t="s">
        <v>9</v>
      </c>
      <c r="E122" s="28" t="s">
        <v>10</v>
      </c>
      <c r="F122" s="29">
        <v>148</v>
      </c>
      <c r="G122" s="29">
        <v>186</v>
      </c>
    </row>
    <row r="123" spans="1:8">
      <c r="A123" s="27">
        <v>57</v>
      </c>
      <c r="B123" s="28" t="s">
        <v>11</v>
      </c>
      <c r="C123" s="29" t="s">
        <v>8</v>
      </c>
      <c r="D123" s="29" t="s">
        <v>9</v>
      </c>
      <c r="E123" s="28" t="s">
        <v>10</v>
      </c>
      <c r="F123" s="29">
        <v>152</v>
      </c>
      <c r="G123" s="29">
        <v>237</v>
      </c>
    </row>
    <row r="124" spans="1:8">
      <c r="A124" s="27">
        <v>62</v>
      </c>
      <c r="B124" s="28" t="s">
        <v>11</v>
      </c>
      <c r="C124" s="29" t="s">
        <v>8</v>
      </c>
      <c r="D124" s="29" t="s">
        <v>9</v>
      </c>
      <c r="E124" s="28" t="s">
        <v>10</v>
      </c>
      <c r="F124" s="29">
        <v>160</v>
      </c>
      <c r="G124" s="29">
        <v>242</v>
      </c>
    </row>
    <row r="125" spans="1:8">
      <c r="A125" s="27">
        <v>65</v>
      </c>
      <c r="B125" s="28" t="s">
        <v>11</v>
      </c>
      <c r="C125" s="29" t="s">
        <v>8</v>
      </c>
      <c r="D125" s="29" t="s">
        <v>9</v>
      </c>
      <c r="E125" s="28" t="s">
        <v>10</v>
      </c>
      <c r="F125" s="29">
        <v>169</v>
      </c>
      <c r="G125" s="29">
        <v>215</v>
      </c>
    </row>
    <row r="126" spans="1:8">
      <c r="A126" s="27">
        <v>67</v>
      </c>
      <c r="B126" s="28" t="s">
        <v>11</v>
      </c>
      <c r="C126" s="29" t="s">
        <v>8</v>
      </c>
      <c r="D126" s="29" t="s">
        <v>9</v>
      </c>
      <c r="E126" s="28" t="s">
        <v>16</v>
      </c>
      <c r="F126" s="29">
        <v>178</v>
      </c>
      <c r="G126" s="29">
        <v>290</v>
      </c>
    </row>
    <row r="129" spans="1:7" ht="32">
      <c r="A129" s="1" t="s">
        <v>0</v>
      </c>
      <c r="B129" s="23" t="s">
        <v>1</v>
      </c>
      <c r="C129" s="24" t="s">
        <v>2</v>
      </c>
      <c r="D129" s="24" t="s">
        <v>3</v>
      </c>
      <c r="E129" s="25" t="s">
        <v>4</v>
      </c>
      <c r="F129" s="26" t="s">
        <v>5</v>
      </c>
      <c r="G129" s="26" t="s">
        <v>6</v>
      </c>
    </row>
    <row r="130" spans="1:7">
      <c r="A130" s="27">
        <v>2</v>
      </c>
      <c r="B130" s="28" t="s">
        <v>11</v>
      </c>
      <c r="C130" s="29" t="s">
        <v>8</v>
      </c>
      <c r="D130" s="28" t="s">
        <v>12</v>
      </c>
      <c r="E130" s="28" t="s">
        <v>10</v>
      </c>
      <c r="F130" s="29">
        <v>28</v>
      </c>
      <c r="G130" s="29">
        <v>42</v>
      </c>
    </row>
    <row r="131" spans="1:7">
      <c r="A131" s="27">
        <v>4</v>
      </c>
      <c r="B131" s="28" t="s">
        <v>11</v>
      </c>
      <c r="C131" s="29" t="s">
        <v>8</v>
      </c>
      <c r="D131" s="28" t="s">
        <v>12</v>
      </c>
      <c r="E131" s="28" t="s">
        <v>10</v>
      </c>
      <c r="F131" s="29">
        <v>45</v>
      </c>
      <c r="G131" s="29">
        <v>68</v>
      </c>
    </row>
    <row r="132" spans="1:7">
      <c r="A132" s="27">
        <v>6</v>
      </c>
      <c r="B132" s="28" t="s">
        <v>11</v>
      </c>
      <c r="C132" s="29" t="s">
        <v>8</v>
      </c>
      <c r="D132" s="29" t="s">
        <v>9</v>
      </c>
      <c r="E132" s="28" t="s">
        <v>10</v>
      </c>
      <c r="F132" s="29">
        <v>51</v>
      </c>
      <c r="G132" s="29">
        <v>52</v>
      </c>
    </row>
    <row r="133" spans="1:7">
      <c r="A133" s="27">
        <v>9</v>
      </c>
      <c r="B133" s="28" t="s">
        <v>11</v>
      </c>
      <c r="C133" s="29" t="s">
        <v>8</v>
      </c>
      <c r="D133" s="28" t="s">
        <v>12</v>
      </c>
      <c r="E133" s="28" t="s">
        <v>10</v>
      </c>
      <c r="F133" s="29">
        <v>65</v>
      </c>
      <c r="G133" s="29">
        <v>139</v>
      </c>
    </row>
    <row r="134" spans="1:7">
      <c r="A134" s="27">
        <v>16</v>
      </c>
      <c r="B134" s="28" t="s">
        <v>11</v>
      </c>
      <c r="C134" s="29" t="s">
        <v>8</v>
      </c>
      <c r="D134" s="28" t="s">
        <v>12</v>
      </c>
      <c r="E134" s="28" t="s">
        <v>10</v>
      </c>
      <c r="F134" s="29">
        <v>75</v>
      </c>
      <c r="G134" s="29">
        <v>110</v>
      </c>
    </row>
    <row r="135" spans="1:7">
      <c r="A135" s="27">
        <v>18</v>
      </c>
      <c r="B135" s="28" t="s">
        <v>11</v>
      </c>
      <c r="C135" s="29" t="s">
        <v>8</v>
      </c>
      <c r="D135" s="29" t="s">
        <v>9</v>
      </c>
      <c r="E135" s="28" t="s">
        <v>10</v>
      </c>
      <c r="F135" s="29">
        <v>79</v>
      </c>
      <c r="G135" s="29">
        <v>142</v>
      </c>
    </row>
    <row r="136" spans="1:7">
      <c r="A136" s="27">
        <v>22</v>
      </c>
      <c r="B136" s="28" t="s">
        <v>11</v>
      </c>
      <c r="C136" s="29" t="s">
        <v>8</v>
      </c>
      <c r="D136" s="29" t="s">
        <v>9</v>
      </c>
      <c r="E136" s="28" t="s">
        <v>10</v>
      </c>
      <c r="F136" s="29">
        <v>81</v>
      </c>
      <c r="G136" s="29">
        <v>190</v>
      </c>
    </row>
    <row r="137" spans="1:7">
      <c r="A137" s="27">
        <v>28</v>
      </c>
      <c r="B137" s="28" t="s">
        <v>11</v>
      </c>
      <c r="C137" s="29" t="s">
        <v>8</v>
      </c>
      <c r="D137" s="29" t="s">
        <v>9</v>
      </c>
      <c r="E137" s="28" t="s">
        <v>10</v>
      </c>
      <c r="F137" s="29">
        <v>87</v>
      </c>
      <c r="G137" s="29">
        <v>170</v>
      </c>
    </row>
    <row r="138" spans="1:7">
      <c r="A138" s="27">
        <v>29</v>
      </c>
      <c r="B138" s="28" t="s">
        <v>11</v>
      </c>
      <c r="C138" s="29" t="s">
        <v>8</v>
      </c>
      <c r="D138" s="29" t="s">
        <v>9</v>
      </c>
      <c r="E138" s="28" t="s">
        <v>10</v>
      </c>
      <c r="F138" s="29">
        <v>90</v>
      </c>
      <c r="G138" s="29">
        <v>189</v>
      </c>
    </row>
    <row r="139" spans="1:7">
      <c r="A139" s="27">
        <v>31</v>
      </c>
      <c r="B139" s="28" t="s">
        <v>11</v>
      </c>
      <c r="C139" s="28" t="s">
        <v>17</v>
      </c>
      <c r="D139" s="28" t="s">
        <v>12</v>
      </c>
      <c r="E139" s="28" t="s">
        <v>10</v>
      </c>
      <c r="F139" s="29">
        <v>92</v>
      </c>
      <c r="G139" s="29">
        <v>195</v>
      </c>
    </row>
    <row r="140" spans="1:7">
      <c r="A140" s="27">
        <v>34</v>
      </c>
      <c r="B140" s="28" t="s">
        <v>11</v>
      </c>
      <c r="C140" s="29" t="s">
        <v>8</v>
      </c>
      <c r="D140" s="29" t="s">
        <v>9</v>
      </c>
      <c r="E140" s="28" t="s">
        <v>10</v>
      </c>
      <c r="F140" s="29">
        <v>102</v>
      </c>
      <c r="G140" s="29">
        <v>200</v>
      </c>
    </row>
    <row r="141" spans="1:7">
      <c r="A141" s="27">
        <v>50</v>
      </c>
      <c r="B141" s="28" t="s">
        <v>11</v>
      </c>
      <c r="C141" s="29" t="s">
        <v>8</v>
      </c>
      <c r="D141" s="28" t="s">
        <v>12</v>
      </c>
      <c r="E141" s="28" t="s">
        <v>10</v>
      </c>
      <c r="F141" s="29">
        <v>127</v>
      </c>
      <c r="G141" s="29">
        <v>215</v>
      </c>
    </row>
    <row r="142" spans="1:7">
      <c r="A142" s="27">
        <v>53</v>
      </c>
      <c r="B142" s="28" t="s">
        <v>11</v>
      </c>
      <c r="C142" s="29" t="s">
        <v>8</v>
      </c>
      <c r="D142" s="29" t="s">
        <v>9</v>
      </c>
      <c r="E142" s="28" t="s">
        <v>10</v>
      </c>
      <c r="F142" s="29">
        <v>136</v>
      </c>
      <c r="G142" s="29">
        <v>220</v>
      </c>
    </row>
    <row r="143" spans="1:7">
      <c r="A143" s="27">
        <v>56</v>
      </c>
      <c r="B143" s="28" t="s">
        <v>11</v>
      </c>
      <c r="C143" s="29" t="s">
        <v>8</v>
      </c>
      <c r="D143" s="29" t="s">
        <v>9</v>
      </c>
      <c r="E143" s="28" t="s">
        <v>10</v>
      </c>
      <c r="F143" s="29">
        <v>148</v>
      </c>
      <c r="G143" s="29">
        <v>186</v>
      </c>
    </row>
    <row r="144" spans="1:7">
      <c r="A144" s="27">
        <v>57</v>
      </c>
      <c r="B144" s="28" t="s">
        <v>11</v>
      </c>
      <c r="C144" s="29" t="s">
        <v>8</v>
      </c>
      <c r="D144" s="29" t="s">
        <v>9</v>
      </c>
      <c r="E144" s="28" t="s">
        <v>10</v>
      </c>
      <c r="F144" s="29">
        <v>152</v>
      </c>
      <c r="G144" s="29">
        <v>237</v>
      </c>
    </row>
    <row r="145" spans="1:7">
      <c r="A145" s="27">
        <v>62</v>
      </c>
      <c r="B145" s="28" t="s">
        <v>11</v>
      </c>
      <c r="C145" s="29" t="s">
        <v>8</v>
      </c>
      <c r="D145" s="29" t="s">
        <v>9</v>
      </c>
      <c r="E145" s="28" t="s">
        <v>10</v>
      </c>
      <c r="F145" s="29">
        <v>160</v>
      </c>
      <c r="G145" s="29">
        <v>242</v>
      </c>
    </row>
    <row r="146" spans="1:7">
      <c r="A146" s="27">
        <v>65</v>
      </c>
      <c r="B146" s="28" t="s">
        <v>11</v>
      </c>
      <c r="C146" s="29" t="s">
        <v>8</v>
      </c>
      <c r="D146" s="29" t="s">
        <v>9</v>
      </c>
      <c r="E146" s="28" t="s">
        <v>10</v>
      </c>
      <c r="F146" s="29">
        <v>169</v>
      </c>
      <c r="G146" s="29">
        <v>215</v>
      </c>
    </row>
    <row r="147" spans="1:7">
      <c r="A147" s="27">
        <v>67</v>
      </c>
      <c r="B147" s="28" t="s">
        <v>11</v>
      </c>
      <c r="C147" s="29" t="s">
        <v>8</v>
      </c>
      <c r="D147" s="29" t="s">
        <v>9</v>
      </c>
      <c r="E147" s="28" t="s">
        <v>16</v>
      </c>
      <c r="F147" s="29">
        <v>178</v>
      </c>
      <c r="G147" s="29">
        <v>290</v>
      </c>
    </row>
    <row r="150" spans="1:7">
      <c r="A150" t="s">
        <v>28</v>
      </c>
    </row>
    <row r="151" spans="1:7">
      <c r="A151" t="s">
        <v>31</v>
      </c>
      <c r="B151" t="s">
        <v>32</v>
      </c>
    </row>
    <row r="152" spans="1:7" ht="20">
      <c r="A152" s="10" t="s">
        <v>33</v>
      </c>
      <c r="D152" s="10" t="s">
        <v>33</v>
      </c>
    </row>
    <row r="153" spans="1:7" ht="20">
      <c r="A153" s="33">
        <v>18</v>
      </c>
      <c r="D153" s="33">
        <v>18</v>
      </c>
    </row>
    <row r="154" spans="1:7" ht="20">
      <c r="A154" s="10" t="s">
        <v>45</v>
      </c>
      <c r="D154" s="10" t="s">
        <v>45</v>
      </c>
    </row>
    <row r="155" spans="1:7" ht="20">
      <c r="A155" s="10">
        <v>1</v>
      </c>
      <c r="D155" s="10">
        <v>1</v>
      </c>
    </row>
    <row r="156" spans="1:7" ht="20">
      <c r="A156" s="10" t="s">
        <v>34</v>
      </c>
      <c r="D156" s="10" t="s">
        <v>34</v>
      </c>
    </row>
    <row r="157" spans="1:7" ht="20">
      <c r="A157" s="10" t="s">
        <v>0</v>
      </c>
      <c r="D157" s="10" t="s">
        <v>0</v>
      </c>
    </row>
    <row r="173" spans="1:1" ht="20">
      <c r="A173" s="13" t="s">
        <v>36</v>
      </c>
    </row>
    <row r="174" spans="1:1" ht="17">
      <c r="A174" s="14" t="s">
        <v>37</v>
      </c>
    </row>
    <row r="175" spans="1:1" ht="17">
      <c r="A175" s="15">
        <v>0.78779999999999994</v>
      </c>
    </row>
    <row r="177" spans="1:11" ht="20">
      <c r="A177" s="13" t="s">
        <v>38</v>
      </c>
    </row>
    <row r="178" spans="1:11" ht="17">
      <c r="A178" s="14" t="s">
        <v>53</v>
      </c>
    </row>
    <row r="181" spans="1:11">
      <c r="A181" t="s">
        <v>40</v>
      </c>
    </row>
    <row r="182" spans="1:11" ht="32">
      <c r="A182" s="1" t="s">
        <v>0</v>
      </c>
      <c r="B182" s="23" t="s">
        <v>1</v>
      </c>
      <c r="C182" s="24" t="s">
        <v>2</v>
      </c>
      <c r="D182" s="24" t="s">
        <v>3</v>
      </c>
      <c r="E182" s="25" t="s">
        <v>4</v>
      </c>
      <c r="F182" s="26" t="s">
        <v>5</v>
      </c>
      <c r="G182" s="26" t="s">
        <v>6</v>
      </c>
      <c r="H182" s="2" t="s">
        <v>41</v>
      </c>
      <c r="I182" s="2" t="s">
        <v>42</v>
      </c>
      <c r="J182" s="2" t="s">
        <v>43</v>
      </c>
      <c r="K182" s="2" t="s">
        <v>40</v>
      </c>
    </row>
    <row r="183" spans="1:11">
      <c r="A183" s="27">
        <v>2</v>
      </c>
      <c r="B183" s="28" t="s">
        <v>11</v>
      </c>
      <c r="C183" s="29" t="s">
        <v>8</v>
      </c>
      <c r="D183" s="28" t="s">
        <v>12</v>
      </c>
      <c r="E183" s="28" t="s">
        <v>10</v>
      </c>
      <c r="F183" s="29">
        <v>28</v>
      </c>
      <c r="G183" s="29">
        <v>42</v>
      </c>
      <c r="H183" s="17">
        <f>32.65+1.3481*F183</f>
        <v>70.396799999999999</v>
      </c>
      <c r="I183" s="18">
        <f>(H183-G183)/G183</f>
        <v>0.67611428571428567</v>
      </c>
      <c r="J183" s="18">
        <f>ABS(I183)</f>
        <v>0.67611428571428567</v>
      </c>
      <c r="K183" s="18">
        <f>AVERAGE(J183:J200)</f>
        <v>0.21611448841564401</v>
      </c>
    </row>
    <row r="184" spans="1:11">
      <c r="A184" s="27">
        <v>4</v>
      </c>
      <c r="B184" s="28" t="s">
        <v>11</v>
      </c>
      <c r="C184" s="29" t="s">
        <v>8</v>
      </c>
      <c r="D184" s="28" t="s">
        <v>12</v>
      </c>
      <c r="E184" s="28" t="s">
        <v>10</v>
      </c>
      <c r="F184" s="29">
        <v>45</v>
      </c>
      <c r="G184" s="29">
        <v>68</v>
      </c>
      <c r="H184" s="17">
        <f t="shared" ref="H184:H200" si="0">32.65+1.3481*F184</f>
        <v>93.31450000000001</v>
      </c>
      <c r="I184" s="18">
        <f t="shared" ref="I184:I189" si="1">(H184-G184)/G184</f>
        <v>0.37227205882352954</v>
      </c>
      <c r="J184" s="18">
        <f t="shared" ref="J184:J200" si="2">ABS(I184)</f>
        <v>0.37227205882352954</v>
      </c>
      <c r="K184" s="11"/>
    </row>
    <row r="185" spans="1:11">
      <c r="A185" s="27">
        <v>6</v>
      </c>
      <c r="B185" s="28" t="s">
        <v>11</v>
      </c>
      <c r="C185" s="29" t="s">
        <v>8</v>
      </c>
      <c r="D185" s="29" t="s">
        <v>9</v>
      </c>
      <c r="E185" s="28" t="s">
        <v>10</v>
      </c>
      <c r="F185" s="29">
        <v>51</v>
      </c>
      <c r="G185" s="29">
        <v>52</v>
      </c>
      <c r="H185" s="17">
        <f t="shared" si="0"/>
        <v>101.40309999999999</v>
      </c>
      <c r="I185" s="18">
        <f t="shared" si="1"/>
        <v>0.95005961538461525</v>
      </c>
      <c r="J185" s="18">
        <f t="shared" si="2"/>
        <v>0.95005961538461525</v>
      </c>
      <c r="K185" s="11"/>
    </row>
    <row r="186" spans="1:11">
      <c r="A186" s="27">
        <v>9</v>
      </c>
      <c r="B186" s="28" t="s">
        <v>11</v>
      </c>
      <c r="C186" s="29" t="s">
        <v>8</v>
      </c>
      <c r="D186" s="28" t="s">
        <v>12</v>
      </c>
      <c r="E186" s="28" t="s">
        <v>10</v>
      </c>
      <c r="F186" s="29">
        <v>65</v>
      </c>
      <c r="G186" s="29">
        <v>139</v>
      </c>
      <c r="H186" s="17">
        <f t="shared" si="0"/>
        <v>120.2765</v>
      </c>
      <c r="I186" s="18">
        <f t="shared" si="1"/>
        <v>-0.13470143884892088</v>
      </c>
      <c r="J186" s="18">
        <f t="shared" si="2"/>
        <v>0.13470143884892088</v>
      </c>
      <c r="K186" s="11"/>
    </row>
    <row r="187" spans="1:11">
      <c r="A187" s="27">
        <v>16</v>
      </c>
      <c r="B187" s="28" t="s">
        <v>11</v>
      </c>
      <c r="C187" s="29" t="s">
        <v>8</v>
      </c>
      <c r="D187" s="28" t="s">
        <v>12</v>
      </c>
      <c r="E187" s="28" t="s">
        <v>10</v>
      </c>
      <c r="F187" s="29">
        <v>75</v>
      </c>
      <c r="G187" s="29">
        <v>110</v>
      </c>
      <c r="H187" s="17">
        <f t="shared" si="0"/>
        <v>133.75749999999999</v>
      </c>
      <c r="I187" s="18">
        <f t="shared" si="1"/>
        <v>0.21597727272727266</v>
      </c>
      <c r="J187" s="18">
        <f t="shared" si="2"/>
        <v>0.21597727272727266</v>
      </c>
      <c r="K187" s="11"/>
    </row>
    <row r="188" spans="1:11">
      <c r="A188" s="27">
        <v>18</v>
      </c>
      <c r="B188" s="28" t="s">
        <v>11</v>
      </c>
      <c r="C188" s="29" t="s">
        <v>8</v>
      </c>
      <c r="D188" s="29" t="s">
        <v>9</v>
      </c>
      <c r="E188" s="28" t="s">
        <v>10</v>
      </c>
      <c r="F188" s="29">
        <v>79</v>
      </c>
      <c r="G188" s="29">
        <v>142</v>
      </c>
      <c r="H188" s="17">
        <f t="shared" si="0"/>
        <v>139.1499</v>
      </c>
      <c r="I188" s="18">
        <f t="shared" si="1"/>
        <v>-2.0071126760563364E-2</v>
      </c>
      <c r="J188" s="18">
        <f t="shared" si="2"/>
        <v>2.0071126760563364E-2</v>
      </c>
      <c r="K188" s="11"/>
    </row>
    <row r="189" spans="1:11">
      <c r="A189" s="27">
        <v>22</v>
      </c>
      <c r="B189" s="28" t="s">
        <v>11</v>
      </c>
      <c r="C189" s="29" t="s">
        <v>8</v>
      </c>
      <c r="D189" s="29" t="s">
        <v>9</v>
      </c>
      <c r="E189" s="28" t="s">
        <v>10</v>
      </c>
      <c r="F189" s="29">
        <v>81</v>
      </c>
      <c r="G189" s="29">
        <v>190</v>
      </c>
      <c r="H189" s="17">
        <f t="shared" si="0"/>
        <v>141.84610000000001</v>
      </c>
      <c r="I189" s="18">
        <f t="shared" si="1"/>
        <v>-0.25344157894736841</v>
      </c>
      <c r="J189" s="18">
        <f t="shared" si="2"/>
        <v>0.25344157894736841</v>
      </c>
      <c r="K189" s="11"/>
    </row>
    <row r="190" spans="1:11">
      <c r="A190" s="27">
        <v>28</v>
      </c>
      <c r="B190" s="28" t="s">
        <v>11</v>
      </c>
      <c r="C190" s="29" t="s">
        <v>8</v>
      </c>
      <c r="D190" s="29" t="s">
        <v>9</v>
      </c>
      <c r="E190" s="28" t="s">
        <v>10</v>
      </c>
      <c r="F190" s="29">
        <v>87</v>
      </c>
      <c r="G190" s="29">
        <v>170</v>
      </c>
      <c r="H190" s="17">
        <f t="shared" si="0"/>
        <v>149.93469999999999</v>
      </c>
      <c r="I190" s="18">
        <f t="shared" ref="I190:I200" si="3">(H190-G190)/G190</f>
        <v>-0.11803117647058828</v>
      </c>
      <c r="J190" s="18">
        <f t="shared" si="2"/>
        <v>0.11803117647058828</v>
      </c>
      <c r="K190" s="11"/>
    </row>
    <row r="191" spans="1:11">
      <c r="A191" s="27">
        <v>29</v>
      </c>
      <c r="B191" s="28" t="s">
        <v>11</v>
      </c>
      <c r="C191" s="29" t="s">
        <v>8</v>
      </c>
      <c r="D191" s="29" t="s">
        <v>9</v>
      </c>
      <c r="E191" s="28" t="s">
        <v>10</v>
      </c>
      <c r="F191" s="29">
        <v>90</v>
      </c>
      <c r="G191" s="29">
        <v>189</v>
      </c>
      <c r="H191" s="17">
        <f t="shared" si="0"/>
        <v>153.97900000000001</v>
      </c>
      <c r="I191" s="18">
        <f t="shared" si="3"/>
        <v>-0.18529629629629624</v>
      </c>
      <c r="J191" s="18">
        <f t="shared" si="2"/>
        <v>0.18529629629629624</v>
      </c>
      <c r="K191" s="11"/>
    </row>
    <row r="192" spans="1:11">
      <c r="A192" s="27">
        <v>31</v>
      </c>
      <c r="B192" s="28" t="s">
        <v>11</v>
      </c>
      <c r="C192" s="28" t="s">
        <v>17</v>
      </c>
      <c r="D192" s="28" t="s">
        <v>12</v>
      </c>
      <c r="E192" s="28" t="s">
        <v>10</v>
      </c>
      <c r="F192" s="29">
        <v>92</v>
      </c>
      <c r="G192" s="29">
        <v>195</v>
      </c>
      <c r="H192" s="17">
        <f t="shared" si="0"/>
        <v>156.67520000000002</v>
      </c>
      <c r="I192" s="18">
        <f t="shared" si="3"/>
        <v>-0.1965374358974358</v>
      </c>
      <c r="J192" s="18">
        <f t="shared" si="2"/>
        <v>0.1965374358974358</v>
      </c>
      <c r="K192" s="11"/>
    </row>
    <row r="193" spans="1:11">
      <c r="A193" s="27">
        <v>34</v>
      </c>
      <c r="B193" s="28" t="s">
        <v>11</v>
      </c>
      <c r="C193" s="29" t="s">
        <v>8</v>
      </c>
      <c r="D193" s="29" t="s">
        <v>9</v>
      </c>
      <c r="E193" s="28" t="s">
        <v>10</v>
      </c>
      <c r="F193" s="29">
        <v>102</v>
      </c>
      <c r="G193" s="29">
        <v>200</v>
      </c>
      <c r="H193" s="17">
        <f t="shared" si="0"/>
        <v>170.15620000000001</v>
      </c>
      <c r="I193" s="18">
        <f t="shared" si="3"/>
        <v>-0.14921899999999994</v>
      </c>
      <c r="J193" s="18">
        <f t="shared" si="2"/>
        <v>0.14921899999999994</v>
      </c>
      <c r="K193" s="11"/>
    </row>
    <row r="194" spans="1:11">
      <c r="A194" s="27">
        <v>50</v>
      </c>
      <c r="B194" s="28" t="s">
        <v>11</v>
      </c>
      <c r="C194" s="29" t="s">
        <v>8</v>
      </c>
      <c r="D194" s="28" t="s">
        <v>12</v>
      </c>
      <c r="E194" s="28" t="s">
        <v>10</v>
      </c>
      <c r="F194" s="29">
        <v>127</v>
      </c>
      <c r="G194" s="29">
        <v>215</v>
      </c>
      <c r="H194" s="17">
        <f t="shared" si="0"/>
        <v>203.85870000000003</v>
      </c>
      <c r="I194" s="18">
        <f t="shared" si="3"/>
        <v>-5.1819999999999873E-2</v>
      </c>
      <c r="J194" s="18">
        <f t="shared" si="2"/>
        <v>5.1819999999999873E-2</v>
      </c>
      <c r="K194" s="11"/>
    </row>
    <row r="195" spans="1:11">
      <c r="A195" s="27">
        <v>53</v>
      </c>
      <c r="B195" s="28" t="s">
        <v>11</v>
      </c>
      <c r="C195" s="29" t="s">
        <v>8</v>
      </c>
      <c r="D195" s="29" t="s">
        <v>9</v>
      </c>
      <c r="E195" s="28" t="s">
        <v>10</v>
      </c>
      <c r="F195" s="29">
        <v>136</v>
      </c>
      <c r="G195" s="29">
        <v>220</v>
      </c>
      <c r="H195" s="17">
        <f t="shared" si="0"/>
        <v>215.99160000000001</v>
      </c>
      <c r="I195" s="18">
        <f t="shared" si="3"/>
        <v>-1.8219999999999976E-2</v>
      </c>
      <c r="J195" s="18">
        <f t="shared" si="2"/>
        <v>1.8219999999999976E-2</v>
      </c>
      <c r="K195" s="11"/>
    </row>
    <row r="196" spans="1:11">
      <c r="A196" s="27">
        <v>56</v>
      </c>
      <c r="B196" s="28" t="s">
        <v>11</v>
      </c>
      <c r="C196" s="29" t="s">
        <v>8</v>
      </c>
      <c r="D196" s="29" t="s">
        <v>9</v>
      </c>
      <c r="E196" s="28" t="s">
        <v>10</v>
      </c>
      <c r="F196" s="29">
        <v>148</v>
      </c>
      <c r="G196" s="29">
        <v>186</v>
      </c>
      <c r="H196" s="17">
        <f t="shared" si="0"/>
        <v>232.1688</v>
      </c>
      <c r="I196" s="18">
        <f t="shared" si="3"/>
        <v>0.24821935483870969</v>
      </c>
      <c r="J196" s="18">
        <f t="shared" si="2"/>
        <v>0.24821935483870969</v>
      </c>
      <c r="K196" s="11"/>
    </row>
    <row r="197" spans="1:11">
      <c r="A197" s="27">
        <v>57</v>
      </c>
      <c r="B197" s="28" t="s">
        <v>11</v>
      </c>
      <c r="C197" s="29" t="s">
        <v>8</v>
      </c>
      <c r="D197" s="29" t="s">
        <v>9</v>
      </c>
      <c r="E197" s="28" t="s">
        <v>10</v>
      </c>
      <c r="F197" s="29">
        <v>152</v>
      </c>
      <c r="G197" s="29">
        <v>237</v>
      </c>
      <c r="H197" s="17">
        <f t="shared" si="0"/>
        <v>237.56120000000001</v>
      </c>
      <c r="I197" s="18">
        <f t="shared" si="3"/>
        <v>2.3679324894515345E-3</v>
      </c>
      <c r="J197" s="18">
        <f t="shared" si="2"/>
        <v>2.3679324894515345E-3</v>
      </c>
      <c r="K197" s="11"/>
    </row>
    <row r="198" spans="1:11">
      <c r="A198" s="27">
        <v>62</v>
      </c>
      <c r="B198" s="28" t="s">
        <v>11</v>
      </c>
      <c r="C198" s="29" t="s">
        <v>8</v>
      </c>
      <c r="D198" s="29" t="s">
        <v>9</v>
      </c>
      <c r="E198" s="28" t="s">
        <v>10</v>
      </c>
      <c r="F198" s="29">
        <v>160</v>
      </c>
      <c r="G198" s="29">
        <v>242</v>
      </c>
      <c r="H198" s="17">
        <f t="shared" si="0"/>
        <v>248.34600000000003</v>
      </c>
      <c r="I198" s="18">
        <f t="shared" si="3"/>
        <v>2.6223140495867901E-2</v>
      </c>
      <c r="J198" s="18">
        <f t="shared" si="2"/>
        <v>2.6223140495867901E-2</v>
      </c>
      <c r="K198" s="11"/>
    </row>
    <row r="199" spans="1:11">
      <c r="A199" s="27">
        <v>65</v>
      </c>
      <c r="B199" s="28" t="s">
        <v>11</v>
      </c>
      <c r="C199" s="29" t="s">
        <v>8</v>
      </c>
      <c r="D199" s="29" t="s">
        <v>9</v>
      </c>
      <c r="E199" s="28" t="s">
        <v>10</v>
      </c>
      <c r="F199" s="29">
        <v>169</v>
      </c>
      <c r="G199" s="29">
        <v>215</v>
      </c>
      <c r="H199" s="17">
        <f t="shared" si="0"/>
        <v>260.47890000000001</v>
      </c>
      <c r="I199" s="18">
        <f t="shared" si="3"/>
        <v>0.2115297674418605</v>
      </c>
      <c r="J199" s="18">
        <f t="shared" si="2"/>
        <v>0.2115297674418605</v>
      </c>
      <c r="K199" s="11"/>
    </row>
    <row r="200" spans="1:11">
      <c r="A200" s="27">
        <v>67</v>
      </c>
      <c r="B200" s="28" t="s">
        <v>11</v>
      </c>
      <c r="C200" s="29" t="s">
        <v>8</v>
      </c>
      <c r="D200" s="29" t="s">
        <v>9</v>
      </c>
      <c r="E200" s="28" t="s">
        <v>16</v>
      </c>
      <c r="F200" s="29">
        <v>178</v>
      </c>
      <c r="G200" s="29">
        <v>290</v>
      </c>
      <c r="H200" s="17">
        <f t="shared" si="0"/>
        <v>272.61180000000002</v>
      </c>
      <c r="I200" s="18">
        <f t="shared" si="3"/>
        <v>-5.9959310344827529E-2</v>
      </c>
      <c r="J200" s="18">
        <f t="shared" si="2"/>
        <v>5.9959310344827529E-2</v>
      </c>
      <c r="K200" s="11"/>
    </row>
    <row r="204" spans="1:11" s="38" customFormat="1"/>
    <row r="205" spans="1:11" s="38" customFormat="1"/>
    <row r="206" spans="1:11" s="38" customFormat="1"/>
    <row r="207" spans="1:11" s="38" customFormat="1"/>
    <row r="208" spans="1:11" s="38" customFormat="1"/>
    <row r="209" spans="2:5" s="38" customFormat="1"/>
    <row r="210" spans="2:5" s="38" customFormat="1"/>
    <row r="211" spans="2:5" s="38" customFormat="1"/>
    <row r="212" spans="2:5" s="38" customFormat="1"/>
    <row r="213" spans="2:5" s="38" customFormat="1"/>
    <row r="214" spans="2:5" s="38" customFormat="1">
      <c r="B214" s="39"/>
    </row>
    <row r="215" spans="2:5" s="38" customFormat="1"/>
    <row r="216" spans="2:5" s="38" customFormat="1"/>
    <row r="217" spans="2:5" s="38" customFormat="1"/>
    <row r="218" spans="2:5" s="38" customFormat="1"/>
    <row r="219" spans="2:5" s="38" customFormat="1">
      <c r="B219" s="39"/>
      <c r="E219" s="40"/>
    </row>
    <row r="220" spans="2:5" s="38" customFormat="1"/>
    <row r="221" spans="2:5" s="38" customFormat="1"/>
    <row r="222" spans="2:5" s="38" customFormat="1"/>
    <row r="223" spans="2:5" s="38" customFormat="1"/>
    <row r="224" spans="2:5" s="38" customFormat="1">
      <c r="B224" s="39"/>
    </row>
    <row r="225" spans="2:2" s="38" customFormat="1"/>
    <row r="226" spans="2:2" s="38" customFormat="1"/>
    <row r="227" spans="2:2" s="38" customFormat="1"/>
    <row r="228" spans="2:2" s="38" customFormat="1"/>
    <row r="229" spans="2:2" s="38" customFormat="1"/>
    <row r="230" spans="2:2" s="38" customFormat="1"/>
    <row r="231" spans="2:2" s="38" customFormat="1"/>
    <row r="232" spans="2:2" s="38" customFormat="1"/>
    <row r="233" spans="2:2" s="38" customFormat="1"/>
    <row r="234" spans="2:2" s="38" customFormat="1"/>
    <row r="235" spans="2:2" s="38" customFormat="1"/>
    <row r="236" spans="2:2" s="38" customFormat="1"/>
    <row r="237" spans="2:2" s="38" customFormat="1"/>
    <row r="238" spans="2:2" s="38" customFormat="1">
      <c r="B238" s="39"/>
    </row>
    <row r="239" spans="2:2" s="38" customFormat="1"/>
    <row r="240" spans="2:2" s="38" customFormat="1"/>
    <row r="241" spans="2:5" s="38" customFormat="1"/>
    <row r="242" spans="2:5" s="38" customFormat="1"/>
    <row r="243" spans="2:5" s="38" customFormat="1">
      <c r="B243" s="39"/>
      <c r="E243" s="40"/>
    </row>
    <row r="244" spans="2:5" s="38" customFormat="1"/>
    <row r="245" spans="2:5" s="38" customFormat="1"/>
    <row r="246" spans="2:5" s="38" customFormat="1"/>
    <row r="247" spans="2:5" s="38" customFormat="1"/>
    <row r="248" spans="2:5" s="38" customFormat="1">
      <c r="B248" s="39"/>
    </row>
    <row r="249" spans="2:5" s="38" customFormat="1"/>
    <row r="250" spans="2:5" s="38" customFormat="1"/>
    <row r="251" spans="2:5" s="38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C3E8-7699-7A42-A102-FEB0AF971C97}">
  <dimension ref="A2:K752"/>
  <sheetViews>
    <sheetView topLeftCell="A703" zoomScale="118" workbookViewId="0">
      <selection activeCell="A716" sqref="A716:XFD752"/>
    </sheetView>
  </sheetViews>
  <sheetFormatPr baseColWidth="10" defaultColWidth="10.6640625" defaultRowHeight="16"/>
  <sheetData>
    <row r="2" spans="1:10">
      <c r="A2" t="s">
        <v>58</v>
      </c>
      <c r="J2" t="s">
        <v>57</v>
      </c>
    </row>
    <row r="21" spans="1:7" ht="32">
      <c r="A21" s="1" t="s">
        <v>0</v>
      </c>
      <c r="B21" s="8" t="s">
        <v>1</v>
      </c>
      <c r="C21" s="7" t="s">
        <v>2</v>
      </c>
      <c r="D21" s="7" t="s">
        <v>3</v>
      </c>
      <c r="E21" s="9" t="s">
        <v>4</v>
      </c>
      <c r="F21" s="2" t="s">
        <v>5</v>
      </c>
      <c r="G21" s="2" t="s">
        <v>6</v>
      </c>
    </row>
    <row r="22" spans="1:7">
      <c r="A22" s="4">
        <v>2</v>
      </c>
      <c r="B22" s="4" t="s">
        <v>11</v>
      </c>
      <c r="C22" s="6" t="s">
        <v>8</v>
      </c>
      <c r="D22" s="4" t="s">
        <v>12</v>
      </c>
      <c r="E22" s="4" t="s">
        <v>10</v>
      </c>
      <c r="F22" s="6">
        <v>28</v>
      </c>
      <c r="G22" s="6">
        <v>42</v>
      </c>
    </row>
    <row r="23" spans="1:7">
      <c r="A23" s="4">
        <v>3</v>
      </c>
      <c r="B23" s="4" t="s">
        <v>13</v>
      </c>
      <c r="C23" s="6" t="s">
        <v>8</v>
      </c>
      <c r="D23" s="6" t="s">
        <v>14</v>
      </c>
      <c r="E23" s="4" t="s">
        <v>10</v>
      </c>
      <c r="F23" s="6">
        <v>43</v>
      </c>
      <c r="G23" s="6">
        <v>150</v>
      </c>
    </row>
    <row r="24" spans="1:7">
      <c r="A24" s="4">
        <v>4</v>
      </c>
      <c r="B24" s="4" t="s">
        <v>11</v>
      </c>
      <c r="C24" s="6" t="s">
        <v>8</v>
      </c>
      <c r="D24" s="4" t="s">
        <v>12</v>
      </c>
      <c r="E24" s="4" t="s">
        <v>10</v>
      </c>
      <c r="F24" s="6">
        <v>45</v>
      </c>
      <c r="G24" s="6">
        <v>68</v>
      </c>
    </row>
    <row r="25" spans="1:7">
      <c r="A25" s="4">
        <v>7</v>
      </c>
      <c r="B25" s="4" t="s">
        <v>7</v>
      </c>
      <c r="C25" s="4" t="s">
        <v>15</v>
      </c>
      <c r="D25" s="4" t="s">
        <v>12</v>
      </c>
      <c r="E25" s="4" t="s">
        <v>16</v>
      </c>
      <c r="F25" s="4">
        <v>52</v>
      </c>
      <c r="G25" s="5">
        <v>274.09199999999998</v>
      </c>
    </row>
    <row r="26" spans="1:7">
      <c r="A26" s="4">
        <v>8</v>
      </c>
      <c r="B26" s="4" t="s">
        <v>7</v>
      </c>
      <c r="C26" s="4" t="s">
        <v>15</v>
      </c>
      <c r="D26" s="4" t="s">
        <v>12</v>
      </c>
      <c r="E26" s="4" t="s">
        <v>16</v>
      </c>
      <c r="F26" s="4">
        <v>61</v>
      </c>
      <c r="G26" s="5">
        <v>336.84199999999998</v>
      </c>
    </row>
    <row r="27" spans="1:7">
      <c r="A27" s="4">
        <v>9</v>
      </c>
      <c r="B27" s="4" t="s">
        <v>11</v>
      </c>
      <c r="C27" s="6" t="s">
        <v>8</v>
      </c>
      <c r="D27" s="4" t="s">
        <v>12</v>
      </c>
      <c r="E27" s="4" t="s">
        <v>10</v>
      </c>
      <c r="F27" s="6">
        <v>65</v>
      </c>
      <c r="G27" s="6">
        <v>139</v>
      </c>
    </row>
    <row r="28" spans="1:7">
      <c r="A28" s="4">
        <v>10</v>
      </c>
      <c r="B28" s="4" t="s">
        <v>7</v>
      </c>
      <c r="C28" s="4" t="s">
        <v>15</v>
      </c>
      <c r="D28" s="4" t="s">
        <v>12</v>
      </c>
      <c r="E28" s="4" t="s">
        <v>16</v>
      </c>
      <c r="F28" s="4">
        <v>68</v>
      </c>
      <c r="G28" s="5">
        <v>512.04</v>
      </c>
    </row>
    <row r="29" spans="1:7">
      <c r="A29" s="4">
        <v>12</v>
      </c>
      <c r="B29" s="4" t="s">
        <v>7</v>
      </c>
      <c r="C29" s="4" t="s">
        <v>15</v>
      </c>
      <c r="D29" s="4" t="s">
        <v>12</v>
      </c>
      <c r="E29" s="4" t="s">
        <v>16</v>
      </c>
      <c r="F29" s="4">
        <v>70</v>
      </c>
      <c r="G29" s="5">
        <v>379.512</v>
      </c>
    </row>
    <row r="30" spans="1:7">
      <c r="A30" s="4">
        <v>13</v>
      </c>
      <c r="B30" s="4" t="s">
        <v>7</v>
      </c>
      <c r="C30" s="4" t="s">
        <v>15</v>
      </c>
      <c r="D30" s="4" t="s">
        <v>12</v>
      </c>
      <c r="E30" s="4" t="s">
        <v>16</v>
      </c>
      <c r="F30" s="4">
        <v>72</v>
      </c>
      <c r="G30" s="5">
        <v>397.58399999999995</v>
      </c>
    </row>
    <row r="31" spans="1:7">
      <c r="A31" s="4">
        <v>14</v>
      </c>
      <c r="B31" s="4" t="s">
        <v>7</v>
      </c>
      <c r="C31" s="4" t="s">
        <v>15</v>
      </c>
      <c r="D31" s="4" t="s">
        <v>12</v>
      </c>
      <c r="E31" s="4" t="s">
        <v>16</v>
      </c>
      <c r="F31" s="4">
        <v>73</v>
      </c>
      <c r="G31" s="5">
        <v>659.62799999999993</v>
      </c>
    </row>
    <row r="32" spans="1:7">
      <c r="A32" s="4">
        <v>15</v>
      </c>
      <c r="B32" s="4" t="s">
        <v>7</v>
      </c>
      <c r="C32" s="4" t="s">
        <v>15</v>
      </c>
      <c r="D32" s="4" t="s">
        <v>12</v>
      </c>
      <c r="E32" s="4" t="s">
        <v>16</v>
      </c>
      <c r="F32" s="4">
        <v>74</v>
      </c>
      <c r="G32" s="5">
        <v>482.92399999999998</v>
      </c>
    </row>
    <row r="33" spans="1:7">
      <c r="A33" s="4">
        <v>16</v>
      </c>
      <c r="B33" s="4" t="s">
        <v>11</v>
      </c>
      <c r="C33" s="6" t="s">
        <v>8</v>
      </c>
      <c r="D33" s="4" t="s">
        <v>12</v>
      </c>
      <c r="E33" s="4" t="s">
        <v>10</v>
      </c>
      <c r="F33" s="6">
        <v>75</v>
      </c>
      <c r="G33" s="6">
        <v>110</v>
      </c>
    </row>
    <row r="34" spans="1:7">
      <c r="A34" s="4">
        <v>17</v>
      </c>
      <c r="B34" s="4" t="s">
        <v>7</v>
      </c>
      <c r="C34" s="4" t="s">
        <v>17</v>
      </c>
      <c r="D34" s="6" t="s">
        <v>14</v>
      </c>
      <c r="E34" s="4" t="s">
        <v>16</v>
      </c>
      <c r="F34" s="6">
        <v>76</v>
      </c>
      <c r="G34" s="6">
        <v>1100</v>
      </c>
    </row>
    <row r="35" spans="1:7">
      <c r="A35" s="4">
        <v>19</v>
      </c>
      <c r="B35" s="4" t="s">
        <v>7</v>
      </c>
      <c r="C35" s="4" t="s">
        <v>15</v>
      </c>
      <c r="D35" s="4" t="s">
        <v>12</v>
      </c>
      <c r="E35" s="4" t="s">
        <v>16</v>
      </c>
      <c r="F35" s="4">
        <v>79</v>
      </c>
      <c r="G35" s="5">
        <v>475.89599999999996</v>
      </c>
    </row>
    <row r="36" spans="1:7">
      <c r="A36" s="4">
        <v>23</v>
      </c>
      <c r="B36" s="4" t="s">
        <v>7</v>
      </c>
      <c r="C36" s="4" t="s">
        <v>15</v>
      </c>
      <c r="D36" s="4" t="s">
        <v>12</v>
      </c>
      <c r="E36" s="4" t="s">
        <v>16</v>
      </c>
      <c r="F36" s="4">
        <v>81</v>
      </c>
      <c r="G36" s="5">
        <v>691.25399999999991</v>
      </c>
    </row>
    <row r="37" spans="1:7">
      <c r="A37" s="4">
        <v>24</v>
      </c>
      <c r="B37" s="4" t="s">
        <v>7</v>
      </c>
      <c r="C37" s="4" t="s">
        <v>15</v>
      </c>
      <c r="D37" s="4" t="s">
        <v>12</v>
      </c>
      <c r="E37" s="4" t="s">
        <v>16</v>
      </c>
      <c r="F37" s="4">
        <v>83</v>
      </c>
      <c r="G37" s="5">
        <v>466.6592</v>
      </c>
    </row>
    <row r="38" spans="1:7">
      <c r="A38" s="4">
        <v>26</v>
      </c>
      <c r="B38" s="4" t="s">
        <v>7</v>
      </c>
      <c r="C38" s="4" t="s">
        <v>15</v>
      </c>
      <c r="D38" s="4" t="s">
        <v>12</v>
      </c>
      <c r="E38" s="4" t="s">
        <v>16</v>
      </c>
      <c r="F38" s="4">
        <v>84</v>
      </c>
      <c r="G38" s="5">
        <v>421.67999999999995</v>
      </c>
    </row>
    <row r="39" spans="1:7">
      <c r="A39" s="4">
        <v>27</v>
      </c>
      <c r="B39" s="4" t="s">
        <v>7</v>
      </c>
      <c r="C39" s="4" t="s">
        <v>15</v>
      </c>
      <c r="D39" s="4" t="s">
        <v>12</v>
      </c>
      <c r="E39" s="4" t="s">
        <v>16</v>
      </c>
      <c r="F39" s="4">
        <v>85</v>
      </c>
      <c r="G39" s="5">
        <v>725.39</v>
      </c>
    </row>
    <row r="40" spans="1:7">
      <c r="A40" s="4">
        <v>30</v>
      </c>
      <c r="B40" s="4" t="s">
        <v>7</v>
      </c>
      <c r="C40" s="4" t="s">
        <v>15</v>
      </c>
      <c r="D40" s="4" t="s">
        <v>12</v>
      </c>
      <c r="E40" s="4" t="s">
        <v>16</v>
      </c>
      <c r="F40" s="4">
        <v>90</v>
      </c>
      <c r="G40" s="5">
        <v>406.61999999999995</v>
      </c>
    </row>
    <row r="41" spans="1:7">
      <c r="A41" s="4">
        <v>31</v>
      </c>
      <c r="B41" s="4" t="s">
        <v>11</v>
      </c>
      <c r="C41" s="4" t="s">
        <v>17</v>
      </c>
      <c r="D41" s="4" t="s">
        <v>12</v>
      </c>
      <c r="E41" s="4" t="s">
        <v>10</v>
      </c>
      <c r="F41" s="6">
        <v>92</v>
      </c>
      <c r="G41" s="6">
        <v>195</v>
      </c>
    </row>
    <row r="42" spans="1:7">
      <c r="A42" s="4">
        <v>32</v>
      </c>
      <c r="B42" s="4" t="s">
        <v>7</v>
      </c>
      <c r="C42" s="4" t="s">
        <v>15</v>
      </c>
      <c r="D42" s="4" t="s">
        <v>12</v>
      </c>
      <c r="E42" s="4" t="s">
        <v>16</v>
      </c>
      <c r="F42" s="4">
        <v>92</v>
      </c>
      <c r="G42" s="5">
        <v>831.31200000000001</v>
      </c>
    </row>
    <row r="43" spans="1:7">
      <c r="A43" s="4">
        <v>33</v>
      </c>
      <c r="B43" s="4" t="s">
        <v>7</v>
      </c>
      <c r="C43" s="4" t="s">
        <v>15</v>
      </c>
      <c r="D43" s="4" t="s">
        <v>12</v>
      </c>
      <c r="E43" s="4" t="s">
        <v>16</v>
      </c>
      <c r="F43" s="4">
        <v>100</v>
      </c>
      <c r="G43" s="5">
        <v>702.79999999999984</v>
      </c>
    </row>
    <row r="44" spans="1:7">
      <c r="A44" s="4">
        <v>35</v>
      </c>
      <c r="B44" s="4" t="s">
        <v>7</v>
      </c>
      <c r="C44" s="4" t="s">
        <v>15</v>
      </c>
      <c r="D44" s="4" t="s">
        <v>12</v>
      </c>
      <c r="E44" s="4" t="s">
        <v>16</v>
      </c>
      <c r="F44" s="4">
        <v>102</v>
      </c>
      <c r="G44" s="5">
        <v>921.67199999999991</v>
      </c>
    </row>
    <row r="45" spans="1:7">
      <c r="A45" s="4">
        <v>36</v>
      </c>
      <c r="B45" s="4" t="s">
        <v>7</v>
      </c>
      <c r="C45" s="4" t="s">
        <v>15</v>
      </c>
      <c r="D45" s="4" t="s">
        <v>12</v>
      </c>
      <c r="E45" s="4" t="s">
        <v>16</v>
      </c>
      <c r="F45" s="4">
        <v>105</v>
      </c>
      <c r="G45" s="5">
        <v>2196.2953367875648</v>
      </c>
    </row>
    <row r="46" spans="1:7">
      <c r="A46" s="4">
        <v>37</v>
      </c>
      <c r="B46" s="4" t="s">
        <v>7</v>
      </c>
      <c r="C46" s="4" t="s">
        <v>15</v>
      </c>
      <c r="D46" s="4" t="s">
        <v>12</v>
      </c>
      <c r="E46" s="4" t="s">
        <v>16</v>
      </c>
      <c r="F46" s="4">
        <v>108</v>
      </c>
      <c r="G46" s="5">
        <v>650.59199999999998</v>
      </c>
    </row>
    <row r="47" spans="1:7">
      <c r="A47" s="4">
        <v>38</v>
      </c>
      <c r="B47" s="4" t="s">
        <v>7</v>
      </c>
      <c r="C47" s="4" t="s">
        <v>17</v>
      </c>
      <c r="D47" s="6" t="s">
        <v>14</v>
      </c>
      <c r="E47" s="4" t="s">
        <v>16</v>
      </c>
      <c r="F47" s="6">
        <v>108</v>
      </c>
      <c r="G47" s="6">
        <v>1276</v>
      </c>
    </row>
    <row r="48" spans="1:7">
      <c r="A48" s="4">
        <v>39</v>
      </c>
      <c r="B48" s="4" t="s">
        <v>7</v>
      </c>
      <c r="C48" s="4" t="s">
        <v>17</v>
      </c>
      <c r="D48" s="4" t="s">
        <v>12</v>
      </c>
      <c r="E48" s="4" t="s">
        <v>16</v>
      </c>
      <c r="F48" s="6">
        <v>110</v>
      </c>
      <c r="G48" s="6">
        <v>884</v>
      </c>
    </row>
    <row r="49" spans="1:7">
      <c r="A49" s="4">
        <v>40</v>
      </c>
      <c r="B49" s="4" t="s">
        <v>7</v>
      </c>
      <c r="C49" s="4" t="s">
        <v>15</v>
      </c>
      <c r="D49" s="4" t="s">
        <v>12</v>
      </c>
      <c r="E49" s="4" t="s">
        <v>16</v>
      </c>
      <c r="F49" s="4">
        <v>114</v>
      </c>
      <c r="G49" s="5">
        <v>502</v>
      </c>
    </row>
    <row r="50" spans="1:7">
      <c r="A50" s="4">
        <v>43</v>
      </c>
      <c r="B50" s="4" t="s">
        <v>7</v>
      </c>
      <c r="C50" s="4" t="s">
        <v>15</v>
      </c>
      <c r="D50" s="4" t="s">
        <v>12</v>
      </c>
      <c r="E50" s="4" t="s">
        <v>16</v>
      </c>
      <c r="F50" s="4">
        <v>115</v>
      </c>
      <c r="G50" s="5">
        <v>692.75999999999988</v>
      </c>
    </row>
    <row r="51" spans="1:7">
      <c r="A51" s="4">
        <v>45</v>
      </c>
      <c r="B51" s="4" t="s">
        <v>7</v>
      </c>
      <c r="C51" s="4" t="s">
        <v>15</v>
      </c>
      <c r="D51" s="4" t="s">
        <v>12</v>
      </c>
      <c r="E51" s="4" t="s">
        <v>16</v>
      </c>
      <c r="F51" s="4">
        <v>117</v>
      </c>
      <c r="G51" s="5">
        <v>728.30159999999989</v>
      </c>
    </row>
    <row r="52" spans="1:7">
      <c r="A52" s="4">
        <v>46</v>
      </c>
      <c r="B52" s="4" t="s">
        <v>7</v>
      </c>
      <c r="C52" s="4" t="s">
        <v>15</v>
      </c>
      <c r="D52" s="4" t="s">
        <v>12</v>
      </c>
      <c r="E52" s="4" t="s">
        <v>16</v>
      </c>
      <c r="F52" s="4">
        <v>117</v>
      </c>
      <c r="G52" s="5">
        <v>998.47799999999984</v>
      </c>
    </row>
    <row r="53" spans="1:7">
      <c r="A53" s="4">
        <v>47</v>
      </c>
      <c r="B53" s="4" t="s">
        <v>7</v>
      </c>
      <c r="C53" s="4" t="s">
        <v>15</v>
      </c>
      <c r="D53" s="4" t="s">
        <v>12</v>
      </c>
      <c r="E53" s="4" t="s">
        <v>16</v>
      </c>
      <c r="F53" s="4">
        <v>118</v>
      </c>
      <c r="G53" s="5">
        <v>1795.0673575129535</v>
      </c>
    </row>
    <row r="54" spans="1:7">
      <c r="A54" s="4">
        <v>48</v>
      </c>
      <c r="B54" s="4" t="s">
        <v>7</v>
      </c>
      <c r="C54" s="4" t="s">
        <v>17</v>
      </c>
      <c r="D54" s="4" t="s">
        <v>12</v>
      </c>
      <c r="E54" s="4" t="s">
        <v>16</v>
      </c>
      <c r="F54" s="6">
        <v>122</v>
      </c>
      <c r="G54" s="6">
        <v>1045</v>
      </c>
    </row>
    <row r="55" spans="1:7">
      <c r="A55" s="4">
        <v>49</v>
      </c>
      <c r="B55" s="4" t="s">
        <v>7</v>
      </c>
      <c r="C55" s="4" t="s">
        <v>15</v>
      </c>
      <c r="D55" s="4" t="s">
        <v>12</v>
      </c>
      <c r="E55" s="4" t="s">
        <v>16</v>
      </c>
      <c r="F55" s="4">
        <v>125</v>
      </c>
      <c r="G55" s="5">
        <v>1004</v>
      </c>
    </row>
    <row r="56" spans="1:7">
      <c r="A56" s="4">
        <v>50</v>
      </c>
      <c r="B56" s="4" t="s">
        <v>11</v>
      </c>
      <c r="C56" s="6" t="s">
        <v>8</v>
      </c>
      <c r="D56" s="4" t="s">
        <v>12</v>
      </c>
      <c r="E56" s="4" t="s">
        <v>10</v>
      </c>
      <c r="F56" s="6">
        <v>127</v>
      </c>
      <c r="G56" s="6">
        <v>215</v>
      </c>
    </row>
    <row r="57" spans="1:7">
      <c r="A57" s="4">
        <v>51</v>
      </c>
      <c r="B57" s="4" t="s">
        <v>7</v>
      </c>
      <c r="C57" s="4" t="s">
        <v>15</v>
      </c>
      <c r="D57" s="4" t="s">
        <v>12</v>
      </c>
      <c r="E57" s="4" t="s">
        <v>16</v>
      </c>
      <c r="F57" s="4">
        <v>127</v>
      </c>
      <c r="G57" s="5">
        <v>1020.064</v>
      </c>
    </row>
    <row r="58" spans="1:7">
      <c r="A58" s="4">
        <v>52</v>
      </c>
      <c r="B58" s="4" t="s">
        <v>7</v>
      </c>
      <c r="C58" s="4" t="s">
        <v>15</v>
      </c>
      <c r="D58" s="4" t="s">
        <v>12</v>
      </c>
      <c r="E58" s="4" t="s">
        <v>16</v>
      </c>
      <c r="F58" s="6">
        <v>135</v>
      </c>
      <c r="G58" s="6">
        <v>1053</v>
      </c>
    </row>
    <row r="59" spans="1:7">
      <c r="A59" s="4">
        <v>54</v>
      </c>
      <c r="B59" s="4" t="s">
        <v>7</v>
      </c>
      <c r="C59" s="4" t="s">
        <v>15</v>
      </c>
      <c r="D59" s="4" t="s">
        <v>12</v>
      </c>
      <c r="E59" s="4" t="s">
        <v>16</v>
      </c>
      <c r="F59" s="4">
        <v>136</v>
      </c>
      <c r="G59" s="5">
        <v>1024.08</v>
      </c>
    </row>
    <row r="60" spans="1:7">
      <c r="A60" s="4">
        <v>55</v>
      </c>
      <c r="B60" s="4" t="s">
        <v>7</v>
      </c>
      <c r="C60" s="4" t="s">
        <v>15</v>
      </c>
      <c r="D60" s="4" t="s">
        <v>12</v>
      </c>
      <c r="E60" s="4" t="s">
        <v>16</v>
      </c>
      <c r="F60" s="4">
        <v>143</v>
      </c>
      <c r="G60" s="5">
        <v>861.4319999999999</v>
      </c>
    </row>
    <row r="61" spans="1:7">
      <c r="A61" s="4">
        <v>59</v>
      </c>
      <c r="B61" s="4" t="s">
        <v>7</v>
      </c>
      <c r="C61" s="4" t="s">
        <v>15</v>
      </c>
      <c r="D61" s="4" t="s">
        <v>12</v>
      </c>
      <c r="E61" s="4" t="s">
        <v>16</v>
      </c>
      <c r="F61" s="4">
        <v>153</v>
      </c>
      <c r="G61" s="5">
        <v>1228.896</v>
      </c>
    </row>
    <row r="62" spans="1:7">
      <c r="A62" s="4">
        <v>60</v>
      </c>
      <c r="B62" s="4" t="s">
        <v>7</v>
      </c>
      <c r="C62" s="4" t="s">
        <v>15</v>
      </c>
      <c r="D62" s="4" t="s">
        <v>12</v>
      </c>
      <c r="E62" s="4" t="s">
        <v>16</v>
      </c>
      <c r="F62" s="6">
        <v>156</v>
      </c>
      <c r="G62" s="6">
        <v>1025</v>
      </c>
    </row>
    <row r="63" spans="1:7">
      <c r="A63" s="4">
        <v>63</v>
      </c>
      <c r="B63" s="4" t="s">
        <v>7</v>
      </c>
      <c r="C63" s="4" t="s">
        <v>15</v>
      </c>
      <c r="D63" s="4" t="s">
        <v>12</v>
      </c>
      <c r="E63" s="4" t="s">
        <v>16</v>
      </c>
      <c r="F63" s="4">
        <v>162</v>
      </c>
      <c r="G63" s="5">
        <v>1305</v>
      </c>
    </row>
    <row r="64" spans="1:7">
      <c r="A64" s="4">
        <v>64</v>
      </c>
      <c r="B64" s="4" t="s">
        <v>7</v>
      </c>
      <c r="C64" s="4" t="s">
        <v>15</v>
      </c>
      <c r="D64" s="4" t="s">
        <v>12</v>
      </c>
      <c r="E64" s="4" t="s">
        <v>16</v>
      </c>
      <c r="F64" s="4">
        <v>162</v>
      </c>
      <c r="G64" s="5">
        <v>1903.7602072538862</v>
      </c>
    </row>
    <row r="65" spans="1:7">
      <c r="A65" s="4">
        <v>71</v>
      </c>
      <c r="B65" s="4" t="s">
        <v>7</v>
      </c>
      <c r="C65" s="4" t="s">
        <v>15</v>
      </c>
      <c r="D65" s="6" t="s">
        <v>14</v>
      </c>
      <c r="E65" s="4" t="s">
        <v>16</v>
      </c>
      <c r="F65" s="6">
        <v>183</v>
      </c>
      <c r="G65" s="6">
        <v>460</v>
      </c>
    </row>
    <row r="66" spans="1:7">
      <c r="A66" s="4">
        <v>72</v>
      </c>
      <c r="B66" s="4" t="s">
        <v>7</v>
      </c>
      <c r="C66" s="4" t="s">
        <v>17</v>
      </c>
      <c r="D66" s="4" t="s">
        <v>12</v>
      </c>
      <c r="E66" s="4" t="s">
        <v>16</v>
      </c>
      <c r="F66" s="6">
        <v>189</v>
      </c>
      <c r="G66" s="6">
        <v>315</v>
      </c>
    </row>
    <row r="67" spans="1:7">
      <c r="A67" s="4">
        <v>73</v>
      </c>
      <c r="B67" s="4" t="s">
        <v>7</v>
      </c>
      <c r="C67" s="4" t="s">
        <v>15</v>
      </c>
      <c r="D67" s="4" t="s">
        <v>12</v>
      </c>
      <c r="E67" s="4" t="s">
        <v>16</v>
      </c>
      <c r="F67" s="4">
        <v>193</v>
      </c>
      <c r="G67" s="5">
        <v>734</v>
      </c>
    </row>
    <row r="68" spans="1:7">
      <c r="A68" s="4">
        <v>74</v>
      </c>
      <c r="B68" s="4" t="s">
        <v>7</v>
      </c>
      <c r="C68" s="4" t="s">
        <v>17</v>
      </c>
      <c r="D68" s="4" t="s">
        <v>12</v>
      </c>
      <c r="E68" s="4" t="s">
        <v>16</v>
      </c>
      <c r="F68" s="6">
        <v>195</v>
      </c>
      <c r="G68" s="6">
        <v>322</v>
      </c>
    </row>
    <row r="69" spans="1:7">
      <c r="A69" s="4">
        <v>75</v>
      </c>
      <c r="B69" s="4" t="s">
        <v>7</v>
      </c>
      <c r="C69" s="4" t="s">
        <v>15</v>
      </c>
      <c r="D69" s="4" t="s">
        <v>12</v>
      </c>
      <c r="E69" s="4" t="s">
        <v>16</v>
      </c>
      <c r="F69" s="4">
        <v>209</v>
      </c>
      <c r="G69" s="5">
        <v>1993.4419999999996</v>
      </c>
    </row>
    <row r="70" spans="1:7">
      <c r="A70" s="4">
        <v>80</v>
      </c>
      <c r="B70" s="4" t="s">
        <v>7</v>
      </c>
      <c r="C70" s="4" t="s">
        <v>15</v>
      </c>
      <c r="D70" s="4" t="s">
        <v>12</v>
      </c>
      <c r="E70" s="4" t="s">
        <v>16</v>
      </c>
      <c r="F70" s="4">
        <v>310</v>
      </c>
      <c r="G70" s="5">
        <v>933.7199999999998</v>
      </c>
    </row>
    <row r="71" spans="1:7">
      <c r="A71" s="4">
        <v>90</v>
      </c>
      <c r="B71" s="4" t="s">
        <v>7</v>
      </c>
      <c r="C71" s="4" t="s">
        <v>15</v>
      </c>
      <c r="D71" s="6" t="s">
        <v>14</v>
      </c>
      <c r="E71" s="4" t="s">
        <v>16</v>
      </c>
      <c r="F71" s="6">
        <v>849</v>
      </c>
      <c r="G71" s="6">
        <v>1874</v>
      </c>
    </row>
    <row r="73" spans="1:7">
      <c r="A73" t="s">
        <v>18</v>
      </c>
    </row>
    <row r="74" spans="1:7" ht="20">
      <c r="A74" s="13" t="s">
        <v>19</v>
      </c>
    </row>
    <row r="75" spans="1:7" ht="17">
      <c r="A75" s="14" t="s">
        <v>20</v>
      </c>
      <c r="B75" s="14" t="s">
        <v>21</v>
      </c>
      <c r="C75" s="14" t="s">
        <v>22</v>
      </c>
      <c r="D75" s="14" t="s">
        <v>23</v>
      </c>
      <c r="E75" s="14" t="s">
        <v>24</v>
      </c>
      <c r="F75" s="14" t="s">
        <v>25</v>
      </c>
      <c r="G75" s="14" t="s">
        <v>26</v>
      </c>
    </row>
    <row r="76" spans="1:7" ht="17">
      <c r="A76" s="14" t="s">
        <v>5</v>
      </c>
      <c r="B76" s="14">
        <v>50</v>
      </c>
      <c r="C76" s="14">
        <v>127.56</v>
      </c>
      <c r="D76" s="14">
        <v>115.82</v>
      </c>
      <c r="E76" s="14">
        <v>28</v>
      </c>
      <c r="F76" s="14">
        <v>108</v>
      </c>
      <c r="G76" s="14">
        <v>849</v>
      </c>
    </row>
    <row r="78" spans="1:7" ht="20">
      <c r="A78" s="13" t="s">
        <v>19</v>
      </c>
    </row>
    <row r="79" spans="1:7" ht="17">
      <c r="A79" s="14" t="s">
        <v>20</v>
      </c>
      <c r="B79" s="14" t="s">
        <v>21</v>
      </c>
      <c r="C79" s="14" t="s">
        <v>22</v>
      </c>
      <c r="D79" s="14" t="s">
        <v>23</v>
      </c>
      <c r="E79" s="14" t="s">
        <v>24</v>
      </c>
      <c r="F79" s="14" t="s">
        <v>25</v>
      </c>
      <c r="G79" s="14" t="s">
        <v>26</v>
      </c>
    </row>
    <row r="80" spans="1:7" ht="17">
      <c r="A80" s="14" t="s">
        <v>6</v>
      </c>
      <c r="B80" s="14">
        <v>50</v>
      </c>
      <c r="C80" s="14">
        <v>770.64</v>
      </c>
      <c r="D80" s="14">
        <v>520.66</v>
      </c>
      <c r="E80" s="14">
        <v>42</v>
      </c>
      <c r="F80" s="14">
        <v>698</v>
      </c>
      <c r="G80" s="14">
        <v>2196</v>
      </c>
    </row>
    <row r="82" spans="1:7">
      <c r="A82" t="s">
        <v>50</v>
      </c>
    </row>
    <row r="83" spans="1:7" ht="20">
      <c r="A83" s="13" t="s">
        <v>29</v>
      </c>
    </row>
    <row r="84" spans="1:7" ht="17">
      <c r="A84" s="14" t="s">
        <v>30</v>
      </c>
      <c r="B84" s="14" t="s">
        <v>6</v>
      </c>
      <c r="C84" s="14"/>
      <c r="D84" s="14"/>
      <c r="E84" s="14"/>
      <c r="F84" s="14"/>
      <c r="G84" s="14"/>
    </row>
    <row r="85" spans="1:7" ht="17">
      <c r="A85" s="14">
        <v>24</v>
      </c>
      <c r="B85" s="14">
        <v>2196</v>
      </c>
      <c r="C85" s="14"/>
      <c r="D85" s="14"/>
      <c r="E85" s="14"/>
      <c r="F85" s="14"/>
      <c r="G85" s="14"/>
    </row>
    <row r="86" spans="1:7" ht="17">
      <c r="A86" s="14">
        <v>32</v>
      </c>
      <c r="B86" s="14">
        <v>1795</v>
      </c>
      <c r="C86" s="14"/>
      <c r="D86" s="14"/>
      <c r="E86" s="14"/>
      <c r="F86" s="14"/>
      <c r="G86" s="14"/>
    </row>
    <row r="87" spans="1:7" ht="17">
      <c r="A87" s="14">
        <v>43</v>
      </c>
      <c r="B87" s="14">
        <v>1904</v>
      </c>
      <c r="C87" s="14"/>
      <c r="D87" s="14"/>
      <c r="E87" s="14"/>
      <c r="F87" s="14"/>
      <c r="G87" s="14"/>
    </row>
    <row r="88" spans="1:7" ht="17">
      <c r="A88" s="14">
        <v>48</v>
      </c>
      <c r="B88" s="14">
        <v>1993</v>
      </c>
      <c r="C88" s="14"/>
      <c r="D88" s="14"/>
      <c r="E88" s="14"/>
      <c r="F88" s="14"/>
      <c r="G88" s="14"/>
    </row>
    <row r="89" spans="1:7" ht="17">
      <c r="A89" s="14">
        <v>50</v>
      </c>
      <c r="B89" s="14">
        <v>1874</v>
      </c>
      <c r="C89" s="14"/>
      <c r="D89" s="14"/>
      <c r="E89" s="14"/>
      <c r="F89" s="14"/>
      <c r="G89" s="14"/>
    </row>
    <row r="90" spans="1:7" ht="17">
      <c r="A90" s="16"/>
    </row>
    <row r="91" spans="1:7" ht="32">
      <c r="A91" s="1" t="s">
        <v>0</v>
      </c>
      <c r="B91" s="8" t="s">
        <v>1</v>
      </c>
      <c r="C91" s="7" t="s">
        <v>2</v>
      </c>
      <c r="D91" s="7" t="s">
        <v>3</v>
      </c>
      <c r="E91" s="9" t="s">
        <v>4</v>
      </c>
      <c r="F91" s="2" t="s">
        <v>5</v>
      </c>
      <c r="G91" s="2" t="s">
        <v>6</v>
      </c>
    </row>
    <row r="92" spans="1:7">
      <c r="A92" s="4">
        <v>2</v>
      </c>
      <c r="B92" s="4" t="s">
        <v>11</v>
      </c>
      <c r="C92" s="6" t="s">
        <v>8</v>
      </c>
      <c r="D92" s="4" t="s">
        <v>12</v>
      </c>
      <c r="E92" s="4" t="s">
        <v>10</v>
      </c>
      <c r="F92" s="6">
        <v>28</v>
      </c>
      <c r="G92" s="6">
        <v>42</v>
      </c>
    </row>
    <row r="93" spans="1:7">
      <c r="A93" s="4">
        <v>3</v>
      </c>
      <c r="B93" s="4" t="s">
        <v>13</v>
      </c>
      <c r="C93" s="6" t="s">
        <v>8</v>
      </c>
      <c r="D93" s="6" t="s">
        <v>14</v>
      </c>
      <c r="E93" s="4" t="s">
        <v>10</v>
      </c>
      <c r="F93" s="6">
        <v>43</v>
      </c>
      <c r="G93" s="6">
        <v>150</v>
      </c>
    </row>
    <row r="94" spans="1:7">
      <c r="A94" s="4">
        <v>4</v>
      </c>
      <c r="B94" s="4" t="s">
        <v>11</v>
      </c>
      <c r="C94" s="6" t="s">
        <v>8</v>
      </c>
      <c r="D94" s="4" t="s">
        <v>12</v>
      </c>
      <c r="E94" s="4" t="s">
        <v>10</v>
      </c>
      <c r="F94" s="6">
        <v>45</v>
      </c>
      <c r="G94" s="6">
        <v>68</v>
      </c>
    </row>
    <row r="95" spans="1:7">
      <c r="A95" s="4">
        <v>7</v>
      </c>
      <c r="B95" s="4" t="s">
        <v>7</v>
      </c>
      <c r="C95" s="4" t="s">
        <v>15</v>
      </c>
      <c r="D95" s="4" t="s">
        <v>12</v>
      </c>
      <c r="E95" s="4" t="s">
        <v>16</v>
      </c>
      <c r="F95" s="4">
        <v>52</v>
      </c>
      <c r="G95" s="5">
        <v>274.09199999999998</v>
      </c>
    </row>
    <row r="96" spans="1:7">
      <c r="A96" s="4">
        <v>8</v>
      </c>
      <c r="B96" s="4" t="s">
        <v>7</v>
      </c>
      <c r="C96" s="4" t="s">
        <v>15</v>
      </c>
      <c r="D96" s="4" t="s">
        <v>12</v>
      </c>
      <c r="E96" s="4" t="s">
        <v>16</v>
      </c>
      <c r="F96" s="4">
        <v>61</v>
      </c>
      <c r="G96" s="5">
        <v>336.84199999999998</v>
      </c>
    </row>
    <row r="97" spans="1:7">
      <c r="A97" s="4">
        <v>9</v>
      </c>
      <c r="B97" s="4" t="s">
        <v>11</v>
      </c>
      <c r="C97" s="6" t="s">
        <v>8</v>
      </c>
      <c r="D97" s="4" t="s">
        <v>12</v>
      </c>
      <c r="E97" s="4" t="s">
        <v>10</v>
      </c>
      <c r="F97" s="6">
        <v>65</v>
      </c>
      <c r="G97" s="6">
        <v>139</v>
      </c>
    </row>
    <row r="98" spans="1:7">
      <c r="A98" s="4">
        <v>10</v>
      </c>
      <c r="B98" s="4" t="s">
        <v>7</v>
      </c>
      <c r="C98" s="4" t="s">
        <v>15</v>
      </c>
      <c r="D98" s="4" t="s">
        <v>12</v>
      </c>
      <c r="E98" s="4" t="s">
        <v>16</v>
      </c>
      <c r="F98" s="4">
        <v>68</v>
      </c>
      <c r="G98" s="5">
        <v>512.04</v>
      </c>
    </row>
    <row r="99" spans="1:7">
      <c r="A99" s="4">
        <v>12</v>
      </c>
      <c r="B99" s="4" t="s">
        <v>7</v>
      </c>
      <c r="C99" s="4" t="s">
        <v>15</v>
      </c>
      <c r="D99" s="4" t="s">
        <v>12</v>
      </c>
      <c r="E99" s="4" t="s">
        <v>16</v>
      </c>
      <c r="F99" s="4">
        <v>70</v>
      </c>
      <c r="G99" s="5">
        <v>379.512</v>
      </c>
    </row>
    <row r="100" spans="1:7">
      <c r="A100" s="4">
        <v>13</v>
      </c>
      <c r="B100" s="4" t="s">
        <v>7</v>
      </c>
      <c r="C100" s="4" t="s">
        <v>15</v>
      </c>
      <c r="D100" s="4" t="s">
        <v>12</v>
      </c>
      <c r="E100" s="4" t="s">
        <v>16</v>
      </c>
      <c r="F100" s="4">
        <v>72</v>
      </c>
      <c r="G100" s="5">
        <v>397.58399999999995</v>
      </c>
    </row>
    <row r="101" spans="1:7">
      <c r="A101" s="4">
        <v>14</v>
      </c>
      <c r="B101" s="4" t="s">
        <v>7</v>
      </c>
      <c r="C101" s="4" t="s">
        <v>15</v>
      </c>
      <c r="D101" s="4" t="s">
        <v>12</v>
      </c>
      <c r="E101" s="4" t="s">
        <v>16</v>
      </c>
      <c r="F101" s="4">
        <v>73</v>
      </c>
      <c r="G101" s="5">
        <v>659.62799999999993</v>
      </c>
    </row>
    <row r="102" spans="1:7">
      <c r="A102" s="4">
        <v>15</v>
      </c>
      <c r="B102" s="4" t="s">
        <v>7</v>
      </c>
      <c r="C102" s="4" t="s">
        <v>15</v>
      </c>
      <c r="D102" s="4" t="s">
        <v>12</v>
      </c>
      <c r="E102" s="4" t="s">
        <v>16</v>
      </c>
      <c r="F102" s="4">
        <v>74</v>
      </c>
      <c r="G102" s="5">
        <v>482.92399999999998</v>
      </c>
    </row>
    <row r="103" spans="1:7">
      <c r="A103" s="4">
        <v>16</v>
      </c>
      <c r="B103" s="4" t="s">
        <v>11</v>
      </c>
      <c r="C103" s="6" t="s">
        <v>8</v>
      </c>
      <c r="D103" s="4" t="s">
        <v>12</v>
      </c>
      <c r="E103" s="4" t="s">
        <v>10</v>
      </c>
      <c r="F103" s="6">
        <v>75</v>
      </c>
      <c r="G103" s="6">
        <v>110</v>
      </c>
    </row>
    <row r="104" spans="1:7">
      <c r="A104" s="4">
        <v>17</v>
      </c>
      <c r="B104" s="4" t="s">
        <v>7</v>
      </c>
      <c r="C104" s="4" t="s">
        <v>17</v>
      </c>
      <c r="D104" s="6" t="s">
        <v>14</v>
      </c>
      <c r="E104" s="4" t="s">
        <v>16</v>
      </c>
      <c r="F104" s="6">
        <v>76</v>
      </c>
      <c r="G104" s="6">
        <v>1100</v>
      </c>
    </row>
    <row r="105" spans="1:7">
      <c r="A105" s="4">
        <v>19</v>
      </c>
      <c r="B105" s="4" t="s">
        <v>7</v>
      </c>
      <c r="C105" s="4" t="s">
        <v>15</v>
      </c>
      <c r="D105" s="4" t="s">
        <v>12</v>
      </c>
      <c r="E105" s="4" t="s">
        <v>16</v>
      </c>
      <c r="F105" s="4">
        <v>79</v>
      </c>
      <c r="G105" s="5">
        <v>475.89599999999996</v>
      </c>
    </row>
    <row r="106" spans="1:7">
      <c r="A106" s="4">
        <v>23</v>
      </c>
      <c r="B106" s="4" t="s">
        <v>7</v>
      </c>
      <c r="C106" s="4" t="s">
        <v>15</v>
      </c>
      <c r="D106" s="4" t="s">
        <v>12</v>
      </c>
      <c r="E106" s="4" t="s">
        <v>16</v>
      </c>
      <c r="F106" s="4">
        <v>81</v>
      </c>
      <c r="G106" s="5">
        <v>691.25399999999991</v>
      </c>
    </row>
    <row r="107" spans="1:7">
      <c r="A107" s="4">
        <v>24</v>
      </c>
      <c r="B107" s="4" t="s">
        <v>7</v>
      </c>
      <c r="C107" s="4" t="s">
        <v>15</v>
      </c>
      <c r="D107" s="4" t="s">
        <v>12</v>
      </c>
      <c r="E107" s="4" t="s">
        <v>16</v>
      </c>
      <c r="F107" s="4">
        <v>83</v>
      </c>
      <c r="G107" s="5">
        <v>466.6592</v>
      </c>
    </row>
    <row r="108" spans="1:7">
      <c r="A108" s="4">
        <v>26</v>
      </c>
      <c r="B108" s="4" t="s">
        <v>7</v>
      </c>
      <c r="C108" s="4" t="s">
        <v>15</v>
      </c>
      <c r="D108" s="4" t="s">
        <v>12</v>
      </c>
      <c r="E108" s="4" t="s">
        <v>16</v>
      </c>
      <c r="F108" s="4">
        <v>84</v>
      </c>
      <c r="G108" s="5">
        <v>421.67999999999995</v>
      </c>
    </row>
    <row r="109" spans="1:7">
      <c r="A109" s="4">
        <v>27</v>
      </c>
      <c r="B109" s="4" t="s">
        <v>7</v>
      </c>
      <c r="C109" s="4" t="s">
        <v>15</v>
      </c>
      <c r="D109" s="4" t="s">
        <v>12</v>
      </c>
      <c r="E109" s="4" t="s">
        <v>16</v>
      </c>
      <c r="F109" s="4">
        <v>85</v>
      </c>
      <c r="G109" s="5">
        <v>725.39</v>
      </c>
    </row>
    <row r="110" spans="1:7">
      <c r="A110" s="4">
        <v>30</v>
      </c>
      <c r="B110" s="4" t="s">
        <v>7</v>
      </c>
      <c r="C110" s="4" t="s">
        <v>15</v>
      </c>
      <c r="D110" s="4" t="s">
        <v>12</v>
      </c>
      <c r="E110" s="4" t="s">
        <v>16</v>
      </c>
      <c r="F110" s="4">
        <v>90</v>
      </c>
      <c r="G110" s="5">
        <v>406.61999999999995</v>
      </c>
    </row>
    <row r="111" spans="1:7">
      <c r="A111" s="4">
        <v>31</v>
      </c>
      <c r="B111" s="4" t="s">
        <v>11</v>
      </c>
      <c r="C111" s="4" t="s">
        <v>17</v>
      </c>
      <c r="D111" s="4" t="s">
        <v>12</v>
      </c>
      <c r="E111" s="4" t="s">
        <v>10</v>
      </c>
      <c r="F111" s="6">
        <v>92</v>
      </c>
      <c r="G111" s="6">
        <v>195</v>
      </c>
    </row>
    <row r="112" spans="1:7">
      <c r="A112" s="4">
        <v>32</v>
      </c>
      <c r="B112" s="4" t="s">
        <v>7</v>
      </c>
      <c r="C112" s="4" t="s">
        <v>15</v>
      </c>
      <c r="D112" s="4" t="s">
        <v>12</v>
      </c>
      <c r="E112" s="4" t="s">
        <v>16</v>
      </c>
      <c r="F112" s="4">
        <v>92</v>
      </c>
      <c r="G112" s="5">
        <v>831.31200000000001</v>
      </c>
    </row>
    <row r="113" spans="1:8">
      <c r="A113" s="4">
        <v>33</v>
      </c>
      <c r="B113" s="4" t="s">
        <v>7</v>
      </c>
      <c r="C113" s="4" t="s">
        <v>15</v>
      </c>
      <c r="D113" s="4" t="s">
        <v>12</v>
      </c>
      <c r="E113" s="4" t="s">
        <v>16</v>
      </c>
      <c r="F113" s="4">
        <v>100</v>
      </c>
      <c r="G113" s="5">
        <v>702.79999999999984</v>
      </c>
    </row>
    <row r="114" spans="1:8">
      <c r="A114" s="4">
        <v>35</v>
      </c>
      <c r="B114" s="4" t="s">
        <v>7</v>
      </c>
      <c r="C114" s="4" t="s">
        <v>15</v>
      </c>
      <c r="D114" s="4" t="s">
        <v>12</v>
      </c>
      <c r="E114" s="4" t="s">
        <v>16</v>
      </c>
      <c r="F114" s="4">
        <v>102</v>
      </c>
      <c r="G114" s="5">
        <v>921.67199999999991</v>
      </c>
    </row>
    <row r="115" spans="1:8">
      <c r="A115" s="4">
        <v>36</v>
      </c>
      <c r="B115" s="4" t="s">
        <v>7</v>
      </c>
      <c r="C115" s="4" t="s">
        <v>15</v>
      </c>
      <c r="D115" s="4" t="s">
        <v>12</v>
      </c>
      <c r="E115" s="4" t="s">
        <v>16</v>
      </c>
      <c r="F115" s="4">
        <v>105</v>
      </c>
      <c r="G115" s="5">
        <v>2196.2953367875648</v>
      </c>
      <c r="H115" s="21" t="s">
        <v>31</v>
      </c>
    </row>
    <row r="116" spans="1:8">
      <c r="A116" s="4">
        <v>37</v>
      </c>
      <c r="B116" s="4" t="s">
        <v>7</v>
      </c>
      <c r="C116" s="4" t="s">
        <v>15</v>
      </c>
      <c r="D116" s="4" t="s">
        <v>12</v>
      </c>
      <c r="E116" s="4" t="s">
        <v>16</v>
      </c>
      <c r="F116" s="4">
        <v>108</v>
      </c>
      <c r="G116" s="5">
        <v>650.59199999999998</v>
      </c>
    </row>
    <row r="117" spans="1:8">
      <c r="A117" s="4">
        <v>38</v>
      </c>
      <c r="B117" s="4" t="s">
        <v>7</v>
      </c>
      <c r="C117" s="4" t="s">
        <v>17</v>
      </c>
      <c r="D117" s="6" t="s">
        <v>14</v>
      </c>
      <c r="E117" s="4" t="s">
        <v>16</v>
      </c>
      <c r="F117" s="6">
        <v>108</v>
      </c>
      <c r="G117" s="6">
        <v>1276</v>
      </c>
    </row>
    <row r="118" spans="1:8">
      <c r="A118" s="4">
        <v>39</v>
      </c>
      <c r="B118" s="4" t="s">
        <v>7</v>
      </c>
      <c r="C118" s="4" t="s">
        <v>17</v>
      </c>
      <c r="D118" s="4" t="s">
        <v>12</v>
      </c>
      <c r="E118" s="4" t="s">
        <v>16</v>
      </c>
      <c r="F118" s="6">
        <v>110</v>
      </c>
      <c r="G118" s="6">
        <v>884</v>
      </c>
    </row>
    <row r="119" spans="1:8">
      <c r="A119" s="4">
        <v>40</v>
      </c>
      <c r="B119" s="4" t="s">
        <v>7</v>
      </c>
      <c r="C119" s="4" t="s">
        <v>15</v>
      </c>
      <c r="D119" s="4" t="s">
        <v>12</v>
      </c>
      <c r="E119" s="4" t="s">
        <v>16</v>
      </c>
      <c r="F119" s="4">
        <v>114</v>
      </c>
      <c r="G119" s="5">
        <v>502</v>
      </c>
    </row>
    <row r="120" spans="1:8">
      <c r="A120" s="4">
        <v>43</v>
      </c>
      <c r="B120" s="4" t="s">
        <v>7</v>
      </c>
      <c r="C120" s="4" t="s">
        <v>15</v>
      </c>
      <c r="D120" s="4" t="s">
        <v>12</v>
      </c>
      <c r="E120" s="4" t="s">
        <v>16</v>
      </c>
      <c r="F120" s="4">
        <v>115</v>
      </c>
      <c r="G120" s="5">
        <v>692.75999999999988</v>
      </c>
    </row>
    <row r="121" spans="1:8">
      <c r="A121" s="4">
        <v>45</v>
      </c>
      <c r="B121" s="4" t="s">
        <v>7</v>
      </c>
      <c r="C121" s="4" t="s">
        <v>15</v>
      </c>
      <c r="D121" s="4" t="s">
        <v>12</v>
      </c>
      <c r="E121" s="4" t="s">
        <v>16</v>
      </c>
      <c r="F121" s="4">
        <v>117</v>
      </c>
      <c r="G121" s="5">
        <v>728.30159999999989</v>
      </c>
    </row>
    <row r="122" spans="1:8">
      <c r="A122" s="4">
        <v>46</v>
      </c>
      <c r="B122" s="4" t="s">
        <v>7</v>
      </c>
      <c r="C122" s="4" t="s">
        <v>15</v>
      </c>
      <c r="D122" s="4" t="s">
        <v>12</v>
      </c>
      <c r="E122" s="4" t="s">
        <v>16</v>
      </c>
      <c r="F122" s="4">
        <v>117</v>
      </c>
      <c r="G122" s="5">
        <v>998.47799999999984</v>
      </c>
    </row>
    <row r="123" spans="1:8">
      <c r="A123" s="4">
        <v>47</v>
      </c>
      <c r="B123" s="4" t="s">
        <v>7</v>
      </c>
      <c r="C123" s="4" t="s">
        <v>15</v>
      </c>
      <c r="D123" s="4" t="s">
        <v>12</v>
      </c>
      <c r="E123" s="4" t="s">
        <v>16</v>
      </c>
      <c r="F123" s="4">
        <v>118</v>
      </c>
      <c r="G123" s="5">
        <v>1795.0673575129535</v>
      </c>
      <c r="H123" s="21" t="s">
        <v>31</v>
      </c>
    </row>
    <row r="124" spans="1:8">
      <c r="A124" s="4">
        <v>48</v>
      </c>
      <c r="B124" s="4" t="s">
        <v>7</v>
      </c>
      <c r="C124" s="4" t="s">
        <v>17</v>
      </c>
      <c r="D124" s="4" t="s">
        <v>12</v>
      </c>
      <c r="E124" s="4" t="s">
        <v>16</v>
      </c>
      <c r="F124" s="6">
        <v>122</v>
      </c>
      <c r="G124" s="6">
        <v>1045</v>
      </c>
    </row>
    <row r="125" spans="1:8">
      <c r="A125" s="4">
        <v>49</v>
      </c>
      <c r="B125" s="4" t="s">
        <v>7</v>
      </c>
      <c r="C125" s="4" t="s">
        <v>15</v>
      </c>
      <c r="D125" s="4" t="s">
        <v>12</v>
      </c>
      <c r="E125" s="4" t="s">
        <v>16</v>
      </c>
      <c r="F125" s="4">
        <v>125</v>
      </c>
      <c r="G125" s="5">
        <v>1004</v>
      </c>
    </row>
    <row r="126" spans="1:8">
      <c r="A126" s="4">
        <v>50</v>
      </c>
      <c r="B126" s="4" t="s">
        <v>11</v>
      </c>
      <c r="C126" s="6" t="s">
        <v>8</v>
      </c>
      <c r="D126" s="4" t="s">
        <v>12</v>
      </c>
      <c r="E126" s="4" t="s">
        <v>10</v>
      </c>
      <c r="F126" s="6">
        <v>127</v>
      </c>
      <c r="G126" s="6">
        <v>215</v>
      </c>
    </row>
    <row r="127" spans="1:8">
      <c r="A127" s="4">
        <v>51</v>
      </c>
      <c r="B127" s="4" t="s">
        <v>7</v>
      </c>
      <c r="C127" s="4" t="s">
        <v>15</v>
      </c>
      <c r="D127" s="4" t="s">
        <v>12</v>
      </c>
      <c r="E127" s="4" t="s">
        <v>16</v>
      </c>
      <c r="F127" s="4">
        <v>127</v>
      </c>
      <c r="G127" s="5">
        <v>1020.064</v>
      </c>
    </row>
    <row r="128" spans="1:8">
      <c r="A128" s="4">
        <v>52</v>
      </c>
      <c r="B128" s="4" t="s">
        <v>7</v>
      </c>
      <c r="C128" s="4" t="s">
        <v>15</v>
      </c>
      <c r="D128" s="4" t="s">
        <v>12</v>
      </c>
      <c r="E128" s="4" t="s">
        <v>16</v>
      </c>
      <c r="F128" s="6">
        <v>135</v>
      </c>
      <c r="G128" s="6">
        <v>1053</v>
      </c>
    </row>
    <row r="129" spans="1:8">
      <c r="A129" s="4">
        <v>54</v>
      </c>
      <c r="B129" s="4" t="s">
        <v>7</v>
      </c>
      <c r="C129" s="4" t="s">
        <v>15</v>
      </c>
      <c r="D129" s="4" t="s">
        <v>12</v>
      </c>
      <c r="E129" s="4" t="s">
        <v>16</v>
      </c>
      <c r="F129" s="4">
        <v>136</v>
      </c>
      <c r="G129" s="5">
        <v>1024.08</v>
      </c>
    </row>
    <row r="130" spans="1:8">
      <c r="A130" s="4">
        <v>55</v>
      </c>
      <c r="B130" s="4" t="s">
        <v>7</v>
      </c>
      <c r="C130" s="4" t="s">
        <v>15</v>
      </c>
      <c r="D130" s="4" t="s">
        <v>12</v>
      </c>
      <c r="E130" s="4" t="s">
        <v>16</v>
      </c>
      <c r="F130" s="4">
        <v>143</v>
      </c>
      <c r="G130" s="5">
        <v>861.4319999999999</v>
      </c>
    </row>
    <row r="131" spans="1:8">
      <c r="A131" s="4">
        <v>59</v>
      </c>
      <c r="B131" s="4" t="s">
        <v>7</v>
      </c>
      <c r="C131" s="4" t="s">
        <v>15</v>
      </c>
      <c r="D131" s="4" t="s">
        <v>12</v>
      </c>
      <c r="E131" s="4" t="s">
        <v>16</v>
      </c>
      <c r="F131" s="4">
        <v>153</v>
      </c>
      <c r="G131" s="5">
        <v>1228.896</v>
      </c>
    </row>
    <row r="132" spans="1:8">
      <c r="A132" s="4">
        <v>60</v>
      </c>
      <c r="B132" s="4" t="s">
        <v>7</v>
      </c>
      <c r="C132" s="4" t="s">
        <v>15</v>
      </c>
      <c r="D132" s="4" t="s">
        <v>12</v>
      </c>
      <c r="E132" s="4" t="s">
        <v>16</v>
      </c>
      <c r="F132" s="6">
        <v>156</v>
      </c>
      <c r="G132" s="6">
        <v>1025</v>
      </c>
    </row>
    <row r="133" spans="1:8">
      <c r="A133" s="4">
        <v>63</v>
      </c>
      <c r="B133" s="4" t="s">
        <v>7</v>
      </c>
      <c r="C133" s="4" t="s">
        <v>15</v>
      </c>
      <c r="D133" s="4" t="s">
        <v>12</v>
      </c>
      <c r="E133" s="4" t="s">
        <v>16</v>
      </c>
      <c r="F133" s="4">
        <v>162</v>
      </c>
      <c r="G133" s="5">
        <v>1305</v>
      </c>
    </row>
    <row r="134" spans="1:8">
      <c r="A134" s="4">
        <v>64</v>
      </c>
      <c r="B134" s="4" t="s">
        <v>7</v>
      </c>
      <c r="C134" s="4" t="s">
        <v>15</v>
      </c>
      <c r="D134" s="4" t="s">
        <v>12</v>
      </c>
      <c r="E134" s="4" t="s">
        <v>16</v>
      </c>
      <c r="F134" s="4">
        <v>162</v>
      </c>
      <c r="G134" s="5">
        <v>1903.7602072538862</v>
      </c>
      <c r="H134" s="21" t="s">
        <v>31</v>
      </c>
    </row>
    <row r="135" spans="1:8">
      <c r="A135" s="4">
        <v>71</v>
      </c>
      <c r="B135" s="4" t="s">
        <v>7</v>
      </c>
      <c r="C135" s="4" t="s">
        <v>15</v>
      </c>
      <c r="D135" s="6" t="s">
        <v>14</v>
      </c>
      <c r="E135" s="4" t="s">
        <v>16</v>
      </c>
      <c r="F135" s="6">
        <v>183</v>
      </c>
      <c r="G135" s="6">
        <v>460</v>
      </c>
    </row>
    <row r="136" spans="1:8">
      <c r="A136" s="4">
        <v>72</v>
      </c>
      <c r="B136" s="4" t="s">
        <v>7</v>
      </c>
      <c r="C136" s="4" t="s">
        <v>17</v>
      </c>
      <c r="D136" s="4" t="s">
        <v>12</v>
      </c>
      <c r="E136" s="4" t="s">
        <v>16</v>
      </c>
      <c r="F136" s="6">
        <v>189</v>
      </c>
      <c r="G136" s="6">
        <v>315</v>
      </c>
    </row>
    <row r="137" spans="1:8">
      <c r="A137" s="4">
        <v>73</v>
      </c>
      <c r="B137" s="4" t="s">
        <v>7</v>
      </c>
      <c r="C137" s="4" t="s">
        <v>15</v>
      </c>
      <c r="D137" s="4" t="s">
        <v>12</v>
      </c>
      <c r="E137" s="4" t="s">
        <v>16</v>
      </c>
      <c r="F137" s="4">
        <v>193</v>
      </c>
      <c r="G137" s="5">
        <v>734</v>
      </c>
    </row>
    <row r="138" spans="1:8">
      <c r="A138" s="4">
        <v>74</v>
      </c>
      <c r="B138" s="4" t="s">
        <v>7</v>
      </c>
      <c r="C138" s="4" t="s">
        <v>17</v>
      </c>
      <c r="D138" s="4" t="s">
        <v>12</v>
      </c>
      <c r="E138" s="4" t="s">
        <v>16</v>
      </c>
      <c r="F138" s="6">
        <v>195</v>
      </c>
      <c r="G138" s="6">
        <v>322</v>
      </c>
    </row>
    <row r="139" spans="1:8">
      <c r="A139" s="4">
        <v>75</v>
      </c>
      <c r="B139" s="4" t="s">
        <v>7</v>
      </c>
      <c r="C139" s="4" t="s">
        <v>15</v>
      </c>
      <c r="D139" s="4" t="s">
        <v>12</v>
      </c>
      <c r="E139" s="4" t="s">
        <v>16</v>
      </c>
      <c r="F139" s="4">
        <v>209</v>
      </c>
      <c r="G139" s="5">
        <v>1993.4419999999996</v>
      </c>
      <c r="H139" s="21" t="s">
        <v>31</v>
      </c>
    </row>
    <row r="140" spans="1:8">
      <c r="A140" s="4">
        <v>80</v>
      </c>
      <c r="B140" s="4" t="s">
        <v>7</v>
      </c>
      <c r="C140" s="4" t="s">
        <v>15</v>
      </c>
      <c r="D140" s="4" t="s">
        <v>12</v>
      </c>
      <c r="E140" s="4" t="s">
        <v>16</v>
      </c>
      <c r="F140" s="4">
        <v>310</v>
      </c>
      <c r="G140" s="5">
        <v>933.7199999999998</v>
      </c>
    </row>
    <row r="141" spans="1:8">
      <c r="A141" s="4">
        <v>90</v>
      </c>
      <c r="B141" s="4" t="s">
        <v>7</v>
      </c>
      <c r="C141" s="4" t="s">
        <v>15</v>
      </c>
      <c r="D141" s="6" t="s">
        <v>14</v>
      </c>
      <c r="E141" s="4" t="s">
        <v>16</v>
      </c>
      <c r="F141" s="6">
        <v>849</v>
      </c>
      <c r="G141" s="6">
        <v>1874</v>
      </c>
      <c r="H141" s="21" t="s">
        <v>31</v>
      </c>
    </row>
    <row r="144" spans="1:8" ht="32">
      <c r="A144" s="1" t="s">
        <v>0</v>
      </c>
      <c r="B144" s="8" t="s">
        <v>1</v>
      </c>
      <c r="C144" s="7" t="s">
        <v>2</v>
      </c>
      <c r="D144" s="7" t="s">
        <v>3</v>
      </c>
      <c r="E144" s="9" t="s">
        <v>4</v>
      </c>
      <c r="F144" s="2" t="s">
        <v>5</v>
      </c>
      <c r="G144" s="2" t="s">
        <v>6</v>
      </c>
    </row>
    <row r="145" spans="1:7">
      <c r="A145" s="4">
        <v>2</v>
      </c>
      <c r="B145" s="4" t="s">
        <v>11</v>
      </c>
      <c r="C145" s="6" t="s">
        <v>8</v>
      </c>
      <c r="D145" s="4" t="s">
        <v>12</v>
      </c>
      <c r="E145" s="4" t="s">
        <v>10</v>
      </c>
      <c r="F145" s="6">
        <v>28</v>
      </c>
      <c r="G145" s="6">
        <v>42</v>
      </c>
    </row>
    <row r="146" spans="1:7">
      <c r="A146" s="4">
        <v>3</v>
      </c>
      <c r="B146" s="4" t="s">
        <v>13</v>
      </c>
      <c r="C146" s="6" t="s">
        <v>8</v>
      </c>
      <c r="D146" s="6" t="s">
        <v>14</v>
      </c>
      <c r="E146" s="4" t="s">
        <v>10</v>
      </c>
      <c r="F146" s="6">
        <v>43</v>
      </c>
      <c r="G146" s="6">
        <v>150</v>
      </c>
    </row>
    <row r="147" spans="1:7">
      <c r="A147" s="4">
        <v>4</v>
      </c>
      <c r="B147" s="4" t="s">
        <v>11</v>
      </c>
      <c r="C147" s="6" t="s">
        <v>8</v>
      </c>
      <c r="D147" s="4" t="s">
        <v>12</v>
      </c>
      <c r="E147" s="4" t="s">
        <v>10</v>
      </c>
      <c r="F147" s="6">
        <v>45</v>
      </c>
      <c r="G147" s="6">
        <v>68</v>
      </c>
    </row>
    <row r="148" spans="1:7">
      <c r="A148" s="4">
        <v>7</v>
      </c>
      <c r="B148" s="4" t="s">
        <v>7</v>
      </c>
      <c r="C148" s="4" t="s">
        <v>15</v>
      </c>
      <c r="D148" s="4" t="s">
        <v>12</v>
      </c>
      <c r="E148" s="4" t="s">
        <v>16</v>
      </c>
      <c r="F148" s="4">
        <v>52</v>
      </c>
      <c r="G148" s="5">
        <v>274.09199999999998</v>
      </c>
    </row>
    <row r="149" spans="1:7">
      <c r="A149" s="4">
        <v>8</v>
      </c>
      <c r="B149" s="4" t="s">
        <v>7</v>
      </c>
      <c r="C149" s="4" t="s">
        <v>15</v>
      </c>
      <c r="D149" s="4" t="s">
        <v>12</v>
      </c>
      <c r="E149" s="4" t="s">
        <v>16</v>
      </c>
      <c r="F149" s="4">
        <v>61</v>
      </c>
      <c r="G149" s="5">
        <v>336.84199999999998</v>
      </c>
    </row>
    <row r="150" spans="1:7">
      <c r="A150" s="4">
        <v>9</v>
      </c>
      <c r="B150" s="4" t="s">
        <v>11</v>
      </c>
      <c r="C150" s="6" t="s">
        <v>8</v>
      </c>
      <c r="D150" s="4" t="s">
        <v>12</v>
      </c>
      <c r="E150" s="4" t="s">
        <v>10</v>
      </c>
      <c r="F150" s="6">
        <v>65</v>
      </c>
      <c r="G150" s="6">
        <v>139</v>
      </c>
    </row>
    <row r="151" spans="1:7">
      <c r="A151" s="4">
        <v>10</v>
      </c>
      <c r="B151" s="4" t="s">
        <v>7</v>
      </c>
      <c r="C151" s="4" t="s">
        <v>15</v>
      </c>
      <c r="D151" s="4" t="s">
        <v>12</v>
      </c>
      <c r="E151" s="4" t="s">
        <v>16</v>
      </c>
      <c r="F151" s="4">
        <v>68</v>
      </c>
      <c r="G151" s="5">
        <v>512.04</v>
      </c>
    </row>
    <row r="152" spans="1:7">
      <c r="A152" s="4">
        <v>12</v>
      </c>
      <c r="B152" s="4" t="s">
        <v>7</v>
      </c>
      <c r="C152" s="4" t="s">
        <v>15</v>
      </c>
      <c r="D152" s="4" t="s">
        <v>12</v>
      </c>
      <c r="E152" s="4" t="s">
        <v>16</v>
      </c>
      <c r="F152" s="4">
        <v>70</v>
      </c>
      <c r="G152" s="5">
        <v>379.512</v>
      </c>
    </row>
    <row r="153" spans="1:7">
      <c r="A153" s="4">
        <v>13</v>
      </c>
      <c r="B153" s="4" t="s">
        <v>7</v>
      </c>
      <c r="C153" s="4" t="s">
        <v>15</v>
      </c>
      <c r="D153" s="4" t="s">
        <v>12</v>
      </c>
      <c r="E153" s="4" t="s">
        <v>16</v>
      </c>
      <c r="F153" s="4">
        <v>72</v>
      </c>
      <c r="G153" s="5">
        <v>397.58399999999995</v>
      </c>
    </row>
    <row r="154" spans="1:7">
      <c r="A154" s="4">
        <v>14</v>
      </c>
      <c r="B154" s="4" t="s">
        <v>7</v>
      </c>
      <c r="C154" s="4" t="s">
        <v>15</v>
      </c>
      <c r="D154" s="4" t="s">
        <v>12</v>
      </c>
      <c r="E154" s="4" t="s">
        <v>16</v>
      </c>
      <c r="F154" s="4">
        <v>73</v>
      </c>
      <c r="G154" s="5">
        <v>659.62799999999993</v>
      </c>
    </row>
    <row r="155" spans="1:7">
      <c r="A155" s="4">
        <v>15</v>
      </c>
      <c r="B155" s="4" t="s">
        <v>7</v>
      </c>
      <c r="C155" s="4" t="s">
        <v>15</v>
      </c>
      <c r="D155" s="4" t="s">
        <v>12</v>
      </c>
      <c r="E155" s="4" t="s">
        <v>16</v>
      </c>
      <c r="F155" s="4">
        <v>74</v>
      </c>
      <c r="G155" s="5">
        <v>482.92399999999998</v>
      </c>
    </row>
    <row r="156" spans="1:7">
      <c r="A156" s="4">
        <v>16</v>
      </c>
      <c r="B156" s="4" t="s">
        <v>11</v>
      </c>
      <c r="C156" s="6" t="s">
        <v>8</v>
      </c>
      <c r="D156" s="4" t="s">
        <v>12</v>
      </c>
      <c r="E156" s="4" t="s">
        <v>10</v>
      </c>
      <c r="F156" s="6">
        <v>75</v>
      </c>
      <c r="G156" s="6">
        <v>110</v>
      </c>
    </row>
    <row r="157" spans="1:7">
      <c r="A157" s="4">
        <v>17</v>
      </c>
      <c r="B157" s="4" t="s">
        <v>7</v>
      </c>
      <c r="C157" s="4" t="s">
        <v>17</v>
      </c>
      <c r="D157" s="6" t="s">
        <v>14</v>
      </c>
      <c r="E157" s="4" t="s">
        <v>16</v>
      </c>
      <c r="F157" s="6">
        <v>76</v>
      </c>
      <c r="G157" s="6">
        <v>1100</v>
      </c>
    </row>
    <row r="158" spans="1:7">
      <c r="A158" s="4">
        <v>19</v>
      </c>
      <c r="B158" s="4" t="s">
        <v>7</v>
      </c>
      <c r="C158" s="4" t="s">
        <v>15</v>
      </c>
      <c r="D158" s="4" t="s">
        <v>12</v>
      </c>
      <c r="E158" s="4" t="s">
        <v>16</v>
      </c>
      <c r="F158" s="4">
        <v>79</v>
      </c>
      <c r="G158" s="5">
        <v>475.89599999999996</v>
      </c>
    </row>
    <row r="159" spans="1:7">
      <c r="A159" s="4">
        <v>23</v>
      </c>
      <c r="B159" s="4" t="s">
        <v>7</v>
      </c>
      <c r="C159" s="4" t="s">
        <v>15</v>
      </c>
      <c r="D159" s="4" t="s">
        <v>12</v>
      </c>
      <c r="E159" s="4" t="s">
        <v>16</v>
      </c>
      <c r="F159" s="4">
        <v>81</v>
      </c>
      <c r="G159" s="5">
        <v>691.25399999999991</v>
      </c>
    </row>
    <row r="160" spans="1:7">
      <c r="A160" s="4">
        <v>24</v>
      </c>
      <c r="B160" s="4" t="s">
        <v>7</v>
      </c>
      <c r="C160" s="4" t="s">
        <v>15</v>
      </c>
      <c r="D160" s="4" t="s">
        <v>12</v>
      </c>
      <c r="E160" s="4" t="s">
        <v>16</v>
      </c>
      <c r="F160" s="4">
        <v>83</v>
      </c>
      <c r="G160" s="5">
        <v>466.6592</v>
      </c>
    </row>
    <row r="161" spans="1:7">
      <c r="A161" s="4">
        <v>26</v>
      </c>
      <c r="B161" s="4" t="s">
        <v>7</v>
      </c>
      <c r="C161" s="4" t="s">
        <v>15</v>
      </c>
      <c r="D161" s="4" t="s">
        <v>12</v>
      </c>
      <c r="E161" s="4" t="s">
        <v>16</v>
      </c>
      <c r="F161" s="4">
        <v>84</v>
      </c>
      <c r="G161" s="5">
        <v>421.67999999999995</v>
      </c>
    </row>
    <row r="162" spans="1:7">
      <c r="A162" s="4">
        <v>27</v>
      </c>
      <c r="B162" s="4" t="s">
        <v>7</v>
      </c>
      <c r="C162" s="4" t="s">
        <v>15</v>
      </c>
      <c r="D162" s="4" t="s">
        <v>12</v>
      </c>
      <c r="E162" s="4" t="s">
        <v>16</v>
      </c>
      <c r="F162" s="4">
        <v>85</v>
      </c>
      <c r="G162" s="5">
        <v>725.39</v>
      </c>
    </row>
    <row r="163" spans="1:7">
      <c r="A163" s="4">
        <v>30</v>
      </c>
      <c r="B163" s="4" t="s">
        <v>7</v>
      </c>
      <c r="C163" s="4" t="s">
        <v>15</v>
      </c>
      <c r="D163" s="4" t="s">
        <v>12</v>
      </c>
      <c r="E163" s="4" t="s">
        <v>16</v>
      </c>
      <c r="F163" s="4">
        <v>90</v>
      </c>
      <c r="G163" s="5">
        <v>406.61999999999995</v>
      </c>
    </row>
    <row r="164" spans="1:7">
      <c r="A164" s="4">
        <v>31</v>
      </c>
      <c r="B164" s="4" t="s">
        <v>11</v>
      </c>
      <c r="C164" s="4" t="s">
        <v>17</v>
      </c>
      <c r="D164" s="4" t="s">
        <v>12</v>
      </c>
      <c r="E164" s="4" t="s">
        <v>10</v>
      </c>
      <c r="F164" s="6">
        <v>92</v>
      </c>
      <c r="G164" s="6">
        <v>195</v>
      </c>
    </row>
    <row r="165" spans="1:7">
      <c r="A165" s="4">
        <v>32</v>
      </c>
      <c r="B165" s="4" t="s">
        <v>7</v>
      </c>
      <c r="C165" s="4" t="s">
        <v>15</v>
      </c>
      <c r="D165" s="4" t="s">
        <v>12</v>
      </c>
      <c r="E165" s="4" t="s">
        <v>16</v>
      </c>
      <c r="F165" s="4">
        <v>92</v>
      </c>
      <c r="G165" s="5">
        <v>831.31200000000001</v>
      </c>
    </row>
    <row r="166" spans="1:7">
      <c r="A166" s="4">
        <v>33</v>
      </c>
      <c r="B166" s="4" t="s">
        <v>7</v>
      </c>
      <c r="C166" s="4" t="s">
        <v>15</v>
      </c>
      <c r="D166" s="4" t="s">
        <v>12</v>
      </c>
      <c r="E166" s="4" t="s">
        <v>16</v>
      </c>
      <c r="F166" s="4">
        <v>100</v>
      </c>
      <c r="G166" s="5">
        <v>702.79999999999984</v>
      </c>
    </row>
    <row r="167" spans="1:7">
      <c r="A167" s="4">
        <v>35</v>
      </c>
      <c r="B167" s="4" t="s">
        <v>7</v>
      </c>
      <c r="C167" s="4" t="s">
        <v>15</v>
      </c>
      <c r="D167" s="4" t="s">
        <v>12</v>
      </c>
      <c r="E167" s="4" t="s">
        <v>16</v>
      </c>
      <c r="F167" s="4">
        <v>102</v>
      </c>
      <c r="G167" s="5">
        <v>921.67199999999991</v>
      </c>
    </row>
    <row r="168" spans="1:7">
      <c r="A168" s="4">
        <v>37</v>
      </c>
      <c r="B168" s="4" t="s">
        <v>7</v>
      </c>
      <c r="C168" s="4" t="s">
        <v>15</v>
      </c>
      <c r="D168" s="4" t="s">
        <v>12</v>
      </c>
      <c r="E168" s="4" t="s">
        <v>16</v>
      </c>
      <c r="F168" s="4">
        <v>108</v>
      </c>
      <c r="G168" s="5">
        <v>650.59199999999998</v>
      </c>
    </row>
    <row r="169" spans="1:7">
      <c r="A169" s="4">
        <v>38</v>
      </c>
      <c r="B169" s="4" t="s">
        <v>7</v>
      </c>
      <c r="C169" s="4" t="s">
        <v>17</v>
      </c>
      <c r="D169" s="6" t="s">
        <v>14</v>
      </c>
      <c r="E169" s="4" t="s">
        <v>16</v>
      </c>
      <c r="F169" s="6">
        <v>108</v>
      </c>
      <c r="G169" s="6">
        <v>1276</v>
      </c>
    </row>
    <row r="170" spans="1:7">
      <c r="A170" s="4">
        <v>39</v>
      </c>
      <c r="B170" s="4" t="s">
        <v>7</v>
      </c>
      <c r="C170" s="4" t="s">
        <v>17</v>
      </c>
      <c r="D170" s="4" t="s">
        <v>12</v>
      </c>
      <c r="E170" s="4" t="s">
        <v>16</v>
      </c>
      <c r="F170" s="6">
        <v>110</v>
      </c>
      <c r="G170" s="6">
        <v>884</v>
      </c>
    </row>
    <row r="171" spans="1:7">
      <c r="A171" s="4">
        <v>40</v>
      </c>
      <c r="B171" s="4" t="s">
        <v>7</v>
      </c>
      <c r="C171" s="4" t="s">
        <v>15</v>
      </c>
      <c r="D171" s="4" t="s">
        <v>12</v>
      </c>
      <c r="E171" s="4" t="s">
        <v>16</v>
      </c>
      <c r="F171" s="4">
        <v>114</v>
      </c>
      <c r="G171" s="5">
        <v>502</v>
      </c>
    </row>
    <row r="172" spans="1:7">
      <c r="A172" s="4">
        <v>43</v>
      </c>
      <c r="B172" s="4" t="s">
        <v>7</v>
      </c>
      <c r="C172" s="4" t="s">
        <v>15</v>
      </c>
      <c r="D172" s="4" t="s">
        <v>12</v>
      </c>
      <c r="E172" s="4" t="s">
        <v>16</v>
      </c>
      <c r="F172" s="4">
        <v>115</v>
      </c>
      <c r="G172" s="5">
        <v>692.75999999999988</v>
      </c>
    </row>
    <row r="173" spans="1:7">
      <c r="A173" s="4">
        <v>45</v>
      </c>
      <c r="B173" s="4" t="s">
        <v>7</v>
      </c>
      <c r="C173" s="4" t="s">
        <v>15</v>
      </c>
      <c r="D173" s="4" t="s">
        <v>12</v>
      </c>
      <c r="E173" s="4" t="s">
        <v>16</v>
      </c>
      <c r="F173" s="4">
        <v>117</v>
      </c>
      <c r="G173" s="5">
        <v>728.30159999999989</v>
      </c>
    </row>
    <row r="174" spans="1:7">
      <c r="A174" s="4">
        <v>46</v>
      </c>
      <c r="B174" s="4" t="s">
        <v>7</v>
      </c>
      <c r="C174" s="4" t="s">
        <v>15</v>
      </c>
      <c r="D174" s="4" t="s">
        <v>12</v>
      </c>
      <c r="E174" s="4" t="s">
        <v>16</v>
      </c>
      <c r="F174" s="4">
        <v>117</v>
      </c>
      <c r="G174" s="5">
        <v>998.47799999999984</v>
      </c>
    </row>
    <row r="175" spans="1:7">
      <c r="A175" s="4">
        <v>48</v>
      </c>
      <c r="B175" s="4" t="s">
        <v>7</v>
      </c>
      <c r="C175" s="4" t="s">
        <v>17</v>
      </c>
      <c r="D175" s="4" t="s">
        <v>12</v>
      </c>
      <c r="E175" s="4" t="s">
        <v>16</v>
      </c>
      <c r="F175" s="6">
        <v>122</v>
      </c>
      <c r="G175" s="6">
        <v>1045</v>
      </c>
    </row>
    <row r="176" spans="1:7">
      <c r="A176" s="4">
        <v>49</v>
      </c>
      <c r="B176" s="4" t="s">
        <v>7</v>
      </c>
      <c r="C176" s="4" t="s">
        <v>15</v>
      </c>
      <c r="D176" s="4" t="s">
        <v>12</v>
      </c>
      <c r="E176" s="4" t="s">
        <v>16</v>
      </c>
      <c r="F176" s="4">
        <v>125</v>
      </c>
      <c r="G176" s="5">
        <v>1004</v>
      </c>
    </row>
    <row r="177" spans="1:7">
      <c r="A177" s="4">
        <v>50</v>
      </c>
      <c r="B177" s="4" t="s">
        <v>11</v>
      </c>
      <c r="C177" s="6" t="s">
        <v>8</v>
      </c>
      <c r="D177" s="4" t="s">
        <v>12</v>
      </c>
      <c r="E177" s="4" t="s">
        <v>10</v>
      </c>
      <c r="F177" s="6">
        <v>127</v>
      </c>
      <c r="G177" s="6">
        <v>215</v>
      </c>
    </row>
    <row r="178" spans="1:7">
      <c r="A178" s="4">
        <v>51</v>
      </c>
      <c r="B178" s="4" t="s">
        <v>7</v>
      </c>
      <c r="C178" s="4" t="s">
        <v>15</v>
      </c>
      <c r="D178" s="4" t="s">
        <v>12</v>
      </c>
      <c r="E178" s="4" t="s">
        <v>16</v>
      </c>
      <c r="F178" s="4">
        <v>127</v>
      </c>
      <c r="G178" s="5">
        <v>1020.064</v>
      </c>
    </row>
    <row r="179" spans="1:7">
      <c r="A179" s="4">
        <v>52</v>
      </c>
      <c r="B179" s="4" t="s">
        <v>7</v>
      </c>
      <c r="C179" s="4" t="s">
        <v>15</v>
      </c>
      <c r="D179" s="4" t="s">
        <v>12</v>
      </c>
      <c r="E179" s="4" t="s">
        <v>16</v>
      </c>
      <c r="F179" s="6">
        <v>135</v>
      </c>
      <c r="G179" s="6">
        <v>1053</v>
      </c>
    </row>
    <row r="180" spans="1:7">
      <c r="A180" s="4">
        <v>54</v>
      </c>
      <c r="B180" s="4" t="s">
        <v>7</v>
      </c>
      <c r="C180" s="4" t="s">
        <v>15</v>
      </c>
      <c r="D180" s="4" t="s">
        <v>12</v>
      </c>
      <c r="E180" s="4" t="s">
        <v>16</v>
      </c>
      <c r="F180" s="4">
        <v>136</v>
      </c>
      <c r="G180" s="5">
        <v>1024.08</v>
      </c>
    </row>
    <row r="181" spans="1:7">
      <c r="A181" s="4">
        <v>55</v>
      </c>
      <c r="B181" s="4" t="s">
        <v>7</v>
      </c>
      <c r="C181" s="4" t="s">
        <v>15</v>
      </c>
      <c r="D181" s="4" t="s">
        <v>12</v>
      </c>
      <c r="E181" s="4" t="s">
        <v>16</v>
      </c>
      <c r="F181" s="4">
        <v>143</v>
      </c>
      <c r="G181" s="5">
        <v>861.4319999999999</v>
      </c>
    </row>
    <row r="182" spans="1:7">
      <c r="A182" s="4">
        <v>59</v>
      </c>
      <c r="B182" s="4" t="s">
        <v>7</v>
      </c>
      <c r="C182" s="4" t="s">
        <v>15</v>
      </c>
      <c r="D182" s="4" t="s">
        <v>12</v>
      </c>
      <c r="E182" s="4" t="s">
        <v>16</v>
      </c>
      <c r="F182" s="4">
        <v>153</v>
      </c>
      <c r="G182" s="5">
        <v>1228.896</v>
      </c>
    </row>
    <row r="183" spans="1:7">
      <c r="A183" s="4">
        <v>60</v>
      </c>
      <c r="B183" s="4" t="s">
        <v>7</v>
      </c>
      <c r="C183" s="4" t="s">
        <v>15</v>
      </c>
      <c r="D183" s="4" t="s">
        <v>12</v>
      </c>
      <c r="E183" s="4" t="s">
        <v>16</v>
      </c>
      <c r="F183" s="6">
        <v>156</v>
      </c>
      <c r="G183" s="6">
        <v>1025</v>
      </c>
    </row>
    <row r="184" spans="1:7">
      <c r="A184" s="4">
        <v>63</v>
      </c>
      <c r="B184" s="4" t="s">
        <v>7</v>
      </c>
      <c r="C184" s="4" t="s">
        <v>15</v>
      </c>
      <c r="D184" s="4" t="s">
        <v>12</v>
      </c>
      <c r="E184" s="4" t="s">
        <v>16</v>
      </c>
      <c r="F184" s="4">
        <v>162</v>
      </c>
      <c r="G184" s="5">
        <v>1305</v>
      </c>
    </row>
    <row r="185" spans="1:7">
      <c r="A185" s="4">
        <v>71</v>
      </c>
      <c r="B185" s="4" t="s">
        <v>7</v>
      </c>
      <c r="C185" s="4" t="s">
        <v>15</v>
      </c>
      <c r="D185" s="6" t="s">
        <v>14</v>
      </c>
      <c r="E185" s="4" t="s">
        <v>16</v>
      </c>
      <c r="F185" s="6">
        <v>183</v>
      </c>
      <c r="G185" s="6">
        <v>460</v>
      </c>
    </row>
    <row r="186" spans="1:7">
      <c r="A186" s="4">
        <v>72</v>
      </c>
      <c r="B186" s="4" t="s">
        <v>7</v>
      </c>
      <c r="C186" s="4" t="s">
        <v>17</v>
      </c>
      <c r="D186" s="4" t="s">
        <v>12</v>
      </c>
      <c r="E186" s="4" t="s">
        <v>16</v>
      </c>
      <c r="F186" s="6">
        <v>189</v>
      </c>
      <c r="G186" s="6">
        <v>315</v>
      </c>
    </row>
    <row r="187" spans="1:7">
      <c r="A187" s="4">
        <v>73</v>
      </c>
      <c r="B187" s="4" t="s">
        <v>7</v>
      </c>
      <c r="C187" s="4" t="s">
        <v>15</v>
      </c>
      <c r="D187" s="4" t="s">
        <v>12</v>
      </c>
      <c r="E187" s="4" t="s">
        <v>16</v>
      </c>
      <c r="F187" s="4">
        <v>193</v>
      </c>
      <c r="G187" s="5">
        <v>734</v>
      </c>
    </row>
    <row r="188" spans="1:7">
      <c r="A188" s="4">
        <v>74</v>
      </c>
      <c r="B188" s="4" t="s">
        <v>7</v>
      </c>
      <c r="C188" s="4" t="s">
        <v>17</v>
      </c>
      <c r="D188" s="4" t="s">
        <v>12</v>
      </c>
      <c r="E188" s="4" t="s">
        <v>16</v>
      </c>
      <c r="F188" s="6">
        <v>195</v>
      </c>
      <c r="G188" s="6">
        <v>322</v>
      </c>
    </row>
    <row r="189" spans="1:7">
      <c r="A189" s="4">
        <v>80</v>
      </c>
      <c r="B189" s="4" t="s">
        <v>7</v>
      </c>
      <c r="C189" s="4" t="s">
        <v>15</v>
      </c>
      <c r="D189" s="4" t="s">
        <v>12</v>
      </c>
      <c r="E189" s="4" t="s">
        <v>16</v>
      </c>
      <c r="F189" s="4">
        <v>310</v>
      </c>
      <c r="G189" s="5">
        <v>933.7199999999998</v>
      </c>
    </row>
    <row r="191" spans="1:7">
      <c r="A191" t="s">
        <v>28</v>
      </c>
    </row>
    <row r="192" spans="1:7" ht="20">
      <c r="A192" s="13" t="s">
        <v>29</v>
      </c>
    </row>
    <row r="193" spans="1:7" ht="17">
      <c r="A193" s="14" t="s">
        <v>30</v>
      </c>
      <c r="B193" s="14" t="s">
        <v>6</v>
      </c>
      <c r="C193" s="14"/>
      <c r="D193" s="14"/>
      <c r="E193" s="14"/>
      <c r="F193" s="14"/>
      <c r="G193" s="14"/>
    </row>
    <row r="194" spans="1:7" ht="17">
      <c r="A194" s="14">
        <v>25</v>
      </c>
      <c r="B194" s="14">
        <v>1276</v>
      </c>
      <c r="C194" s="14"/>
      <c r="D194" s="14"/>
      <c r="E194" s="14"/>
      <c r="F194" s="14"/>
      <c r="G194" s="14"/>
    </row>
    <row r="195" spans="1:7" ht="17">
      <c r="A195" s="14">
        <v>45</v>
      </c>
      <c r="B195" s="14">
        <v>934</v>
      </c>
      <c r="C195" s="14"/>
      <c r="D195" s="14"/>
      <c r="E195" s="14"/>
      <c r="F195" s="14"/>
      <c r="G195" s="14"/>
    </row>
    <row r="197" spans="1:7" ht="32">
      <c r="A197" s="1" t="s">
        <v>0</v>
      </c>
      <c r="B197" s="8" t="s">
        <v>1</v>
      </c>
      <c r="C197" s="7" t="s">
        <v>2</v>
      </c>
      <c r="D197" s="7" t="s">
        <v>3</v>
      </c>
      <c r="E197" s="9" t="s">
        <v>4</v>
      </c>
      <c r="F197" s="2" t="s">
        <v>5</v>
      </c>
      <c r="G197" s="2" t="s">
        <v>6</v>
      </c>
    </row>
    <row r="198" spans="1:7">
      <c r="A198" s="4">
        <v>2</v>
      </c>
      <c r="B198" s="4" t="s">
        <v>11</v>
      </c>
      <c r="C198" s="6" t="s">
        <v>8</v>
      </c>
      <c r="D198" s="4" t="s">
        <v>12</v>
      </c>
      <c r="E198" s="4" t="s">
        <v>10</v>
      </c>
      <c r="F198" s="6">
        <v>28</v>
      </c>
      <c r="G198" s="6">
        <v>42</v>
      </c>
    </row>
    <row r="199" spans="1:7">
      <c r="A199" s="4">
        <v>3</v>
      </c>
      <c r="B199" s="4" t="s">
        <v>13</v>
      </c>
      <c r="C199" s="6" t="s">
        <v>8</v>
      </c>
      <c r="D199" s="6" t="s">
        <v>14</v>
      </c>
      <c r="E199" s="4" t="s">
        <v>10</v>
      </c>
      <c r="F199" s="6">
        <v>43</v>
      </c>
      <c r="G199" s="6">
        <v>150</v>
      </c>
    </row>
    <row r="200" spans="1:7">
      <c r="A200" s="4">
        <v>4</v>
      </c>
      <c r="B200" s="4" t="s">
        <v>11</v>
      </c>
      <c r="C200" s="6" t="s">
        <v>8</v>
      </c>
      <c r="D200" s="4" t="s">
        <v>12</v>
      </c>
      <c r="E200" s="4" t="s">
        <v>10</v>
      </c>
      <c r="F200" s="6">
        <v>45</v>
      </c>
      <c r="G200" s="6">
        <v>68</v>
      </c>
    </row>
    <row r="201" spans="1:7">
      <c r="A201" s="4">
        <v>7</v>
      </c>
      <c r="B201" s="4" t="s">
        <v>7</v>
      </c>
      <c r="C201" s="4" t="s">
        <v>15</v>
      </c>
      <c r="D201" s="4" t="s">
        <v>12</v>
      </c>
      <c r="E201" s="4" t="s">
        <v>16</v>
      </c>
      <c r="F201" s="4">
        <v>52</v>
      </c>
      <c r="G201" s="5">
        <v>274.09199999999998</v>
      </c>
    </row>
    <row r="202" spans="1:7">
      <c r="A202" s="4">
        <v>8</v>
      </c>
      <c r="B202" s="4" t="s">
        <v>7</v>
      </c>
      <c r="C202" s="4" t="s">
        <v>15</v>
      </c>
      <c r="D202" s="4" t="s">
        <v>12</v>
      </c>
      <c r="E202" s="4" t="s">
        <v>16</v>
      </c>
      <c r="F202" s="4">
        <v>61</v>
      </c>
      <c r="G202" s="5">
        <v>336.84199999999998</v>
      </c>
    </row>
    <row r="203" spans="1:7">
      <c r="A203" s="4">
        <v>9</v>
      </c>
      <c r="B203" s="4" t="s">
        <v>11</v>
      </c>
      <c r="C203" s="6" t="s">
        <v>8</v>
      </c>
      <c r="D203" s="4" t="s">
        <v>12</v>
      </c>
      <c r="E203" s="4" t="s">
        <v>10</v>
      </c>
      <c r="F203" s="6">
        <v>65</v>
      </c>
      <c r="G203" s="6">
        <v>139</v>
      </c>
    </row>
    <row r="204" spans="1:7">
      <c r="A204" s="4">
        <v>10</v>
      </c>
      <c r="B204" s="4" t="s">
        <v>7</v>
      </c>
      <c r="C204" s="4" t="s">
        <v>15</v>
      </c>
      <c r="D204" s="4" t="s">
        <v>12</v>
      </c>
      <c r="E204" s="4" t="s">
        <v>16</v>
      </c>
      <c r="F204" s="4">
        <v>68</v>
      </c>
      <c r="G204" s="5">
        <v>512.04</v>
      </c>
    </row>
    <row r="205" spans="1:7">
      <c r="A205" s="4">
        <v>12</v>
      </c>
      <c r="B205" s="4" t="s">
        <v>7</v>
      </c>
      <c r="C205" s="4" t="s">
        <v>15</v>
      </c>
      <c r="D205" s="4" t="s">
        <v>12</v>
      </c>
      <c r="E205" s="4" t="s">
        <v>16</v>
      </c>
      <c r="F205" s="4">
        <v>70</v>
      </c>
      <c r="G205" s="5">
        <v>379.512</v>
      </c>
    </row>
    <row r="206" spans="1:7">
      <c r="A206" s="4">
        <v>13</v>
      </c>
      <c r="B206" s="4" t="s">
        <v>7</v>
      </c>
      <c r="C206" s="4" t="s">
        <v>15</v>
      </c>
      <c r="D206" s="4" t="s">
        <v>12</v>
      </c>
      <c r="E206" s="4" t="s">
        <v>16</v>
      </c>
      <c r="F206" s="4">
        <v>72</v>
      </c>
      <c r="G206" s="5">
        <v>397.58399999999995</v>
      </c>
    </row>
    <row r="207" spans="1:7">
      <c r="A207" s="4">
        <v>14</v>
      </c>
      <c r="B207" s="4" t="s">
        <v>7</v>
      </c>
      <c r="C207" s="4" t="s">
        <v>15</v>
      </c>
      <c r="D207" s="4" t="s">
        <v>12</v>
      </c>
      <c r="E207" s="4" t="s">
        <v>16</v>
      </c>
      <c r="F207" s="4">
        <v>73</v>
      </c>
      <c r="G207" s="5">
        <v>659.62799999999993</v>
      </c>
    </row>
    <row r="208" spans="1:7">
      <c r="A208" s="4">
        <v>15</v>
      </c>
      <c r="B208" s="4" t="s">
        <v>7</v>
      </c>
      <c r="C208" s="4" t="s">
        <v>15</v>
      </c>
      <c r="D208" s="4" t="s">
        <v>12</v>
      </c>
      <c r="E208" s="4" t="s">
        <v>16</v>
      </c>
      <c r="F208" s="4">
        <v>74</v>
      </c>
      <c r="G208" s="5">
        <v>482.92399999999998</v>
      </c>
    </row>
    <row r="209" spans="1:8">
      <c r="A209" s="4">
        <v>16</v>
      </c>
      <c r="B209" s="4" t="s">
        <v>11</v>
      </c>
      <c r="C209" s="6" t="s">
        <v>8</v>
      </c>
      <c r="D209" s="4" t="s">
        <v>12</v>
      </c>
      <c r="E209" s="4" t="s">
        <v>10</v>
      </c>
      <c r="F209" s="6">
        <v>75</v>
      </c>
      <c r="G209" s="6">
        <v>110</v>
      </c>
    </row>
    <row r="210" spans="1:8">
      <c r="A210" s="4">
        <v>17</v>
      </c>
      <c r="B210" s="4" t="s">
        <v>7</v>
      </c>
      <c r="C210" s="4" t="s">
        <v>17</v>
      </c>
      <c r="D210" s="6" t="s">
        <v>14</v>
      </c>
      <c r="E210" s="4" t="s">
        <v>16</v>
      </c>
      <c r="F210" s="6">
        <v>76</v>
      </c>
      <c r="G210" s="6">
        <v>1100</v>
      </c>
    </row>
    <row r="211" spans="1:8">
      <c r="A211" s="4">
        <v>19</v>
      </c>
      <c r="B211" s="4" t="s">
        <v>7</v>
      </c>
      <c r="C211" s="4" t="s">
        <v>15</v>
      </c>
      <c r="D211" s="4" t="s">
        <v>12</v>
      </c>
      <c r="E211" s="4" t="s">
        <v>16</v>
      </c>
      <c r="F211" s="4">
        <v>79</v>
      </c>
      <c r="G211" s="5">
        <v>475.89599999999996</v>
      </c>
    </row>
    <row r="212" spans="1:8">
      <c r="A212" s="4">
        <v>23</v>
      </c>
      <c r="B212" s="4" t="s">
        <v>7</v>
      </c>
      <c r="C212" s="4" t="s">
        <v>15</v>
      </c>
      <c r="D212" s="4" t="s">
        <v>12</v>
      </c>
      <c r="E212" s="4" t="s">
        <v>16</v>
      </c>
      <c r="F212" s="4">
        <v>81</v>
      </c>
      <c r="G212" s="5">
        <v>691.25399999999991</v>
      </c>
    </row>
    <row r="213" spans="1:8">
      <c r="A213" s="4">
        <v>24</v>
      </c>
      <c r="B213" s="4" t="s">
        <v>7</v>
      </c>
      <c r="C213" s="4" t="s">
        <v>15</v>
      </c>
      <c r="D213" s="4" t="s">
        <v>12</v>
      </c>
      <c r="E213" s="4" t="s">
        <v>16</v>
      </c>
      <c r="F213" s="4">
        <v>83</v>
      </c>
      <c r="G213" s="5">
        <v>466.6592</v>
      </c>
    </row>
    <row r="214" spans="1:8">
      <c r="A214" s="4">
        <v>26</v>
      </c>
      <c r="B214" s="4" t="s">
        <v>7</v>
      </c>
      <c r="C214" s="4" t="s">
        <v>15</v>
      </c>
      <c r="D214" s="4" t="s">
        <v>12</v>
      </c>
      <c r="E214" s="4" t="s">
        <v>16</v>
      </c>
      <c r="F214" s="4">
        <v>84</v>
      </c>
      <c r="G214" s="5">
        <v>421.67999999999995</v>
      </c>
    </row>
    <row r="215" spans="1:8">
      <c r="A215" s="4">
        <v>27</v>
      </c>
      <c r="B215" s="4" t="s">
        <v>7</v>
      </c>
      <c r="C215" s="4" t="s">
        <v>15</v>
      </c>
      <c r="D215" s="4" t="s">
        <v>12</v>
      </c>
      <c r="E215" s="4" t="s">
        <v>16</v>
      </c>
      <c r="F215" s="4">
        <v>85</v>
      </c>
      <c r="G215" s="5">
        <v>725.39</v>
      </c>
    </row>
    <row r="216" spans="1:8">
      <c r="A216" s="4">
        <v>30</v>
      </c>
      <c r="B216" s="4" t="s">
        <v>7</v>
      </c>
      <c r="C216" s="4" t="s">
        <v>15</v>
      </c>
      <c r="D216" s="4" t="s">
        <v>12</v>
      </c>
      <c r="E216" s="4" t="s">
        <v>16</v>
      </c>
      <c r="F216" s="4">
        <v>90</v>
      </c>
      <c r="G216" s="5">
        <v>406.61999999999995</v>
      </c>
    </row>
    <row r="217" spans="1:8">
      <c r="A217" s="4">
        <v>31</v>
      </c>
      <c r="B217" s="4" t="s">
        <v>11</v>
      </c>
      <c r="C217" s="4" t="s">
        <v>17</v>
      </c>
      <c r="D217" s="4" t="s">
        <v>12</v>
      </c>
      <c r="E217" s="4" t="s">
        <v>10</v>
      </c>
      <c r="F217" s="6">
        <v>92</v>
      </c>
      <c r="G217" s="6">
        <v>195</v>
      </c>
    </row>
    <row r="218" spans="1:8">
      <c r="A218" s="4">
        <v>32</v>
      </c>
      <c r="B218" s="4" t="s">
        <v>7</v>
      </c>
      <c r="C218" s="4" t="s">
        <v>15</v>
      </c>
      <c r="D218" s="4" t="s">
        <v>12</v>
      </c>
      <c r="E218" s="4" t="s">
        <v>16</v>
      </c>
      <c r="F218" s="4">
        <v>92</v>
      </c>
      <c r="G218" s="5">
        <v>831.31200000000001</v>
      </c>
    </row>
    <row r="219" spans="1:8">
      <c r="A219" s="4">
        <v>33</v>
      </c>
      <c r="B219" s="4" t="s">
        <v>7</v>
      </c>
      <c r="C219" s="4" t="s">
        <v>15</v>
      </c>
      <c r="D219" s="4" t="s">
        <v>12</v>
      </c>
      <c r="E219" s="4" t="s">
        <v>16</v>
      </c>
      <c r="F219" s="4">
        <v>100</v>
      </c>
      <c r="G219" s="5">
        <v>702.79999999999984</v>
      </c>
    </row>
    <row r="220" spans="1:8">
      <c r="A220" s="4">
        <v>35</v>
      </c>
      <c r="B220" s="4" t="s">
        <v>7</v>
      </c>
      <c r="C220" s="4" t="s">
        <v>15</v>
      </c>
      <c r="D220" s="4" t="s">
        <v>12</v>
      </c>
      <c r="E220" s="4" t="s">
        <v>16</v>
      </c>
      <c r="F220" s="4">
        <v>102</v>
      </c>
      <c r="G220" s="5">
        <v>921.67199999999991</v>
      </c>
    </row>
    <row r="221" spans="1:8">
      <c r="A221" s="4">
        <v>37</v>
      </c>
      <c r="B221" s="4" t="s">
        <v>7</v>
      </c>
      <c r="C221" s="4" t="s">
        <v>15</v>
      </c>
      <c r="D221" s="4" t="s">
        <v>12</v>
      </c>
      <c r="E221" s="4" t="s">
        <v>16</v>
      </c>
      <c r="F221" s="4">
        <v>108</v>
      </c>
      <c r="G221" s="5">
        <v>650.59199999999998</v>
      </c>
    </row>
    <row r="222" spans="1:8">
      <c r="A222" s="4">
        <v>38</v>
      </c>
      <c r="B222" s="4" t="s">
        <v>7</v>
      </c>
      <c r="C222" s="4" t="s">
        <v>17</v>
      </c>
      <c r="D222" s="6" t="s">
        <v>14</v>
      </c>
      <c r="E222" s="4" t="s">
        <v>16</v>
      </c>
      <c r="F222" s="6">
        <v>108</v>
      </c>
      <c r="G222" s="6">
        <v>1276</v>
      </c>
      <c r="H222" s="20" t="s">
        <v>31</v>
      </c>
    </row>
    <row r="223" spans="1:8">
      <c r="A223" s="4">
        <v>39</v>
      </c>
      <c r="B223" s="4" t="s">
        <v>7</v>
      </c>
      <c r="C223" s="4" t="s">
        <v>17</v>
      </c>
      <c r="D223" s="4" t="s">
        <v>12</v>
      </c>
      <c r="E223" s="4" t="s">
        <v>16</v>
      </c>
      <c r="F223" s="6">
        <v>110</v>
      </c>
      <c r="G223" s="6">
        <v>884</v>
      </c>
    </row>
    <row r="224" spans="1:8">
      <c r="A224" s="4">
        <v>40</v>
      </c>
      <c r="B224" s="4" t="s">
        <v>7</v>
      </c>
      <c r="C224" s="4" t="s">
        <v>15</v>
      </c>
      <c r="D224" s="4" t="s">
        <v>12</v>
      </c>
      <c r="E224" s="4" t="s">
        <v>16</v>
      </c>
      <c r="F224" s="4">
        <v>114</v>
      </c>
      <c r="G224" s="5">
        <v>502</v>
      </c>
    </row>
    <row r="225" spans="1:7">
      <c r="A225" s="4">
        <v>43</v>
      </c>
      <c r="B225" s="4" t="s">
        <v>7</v>
      </c>
      <c r="C225" s="4" t="s">
        <v>15</v>
      </c>
      <c r="D225" s="4" t="s">
        <v>12</v>
      </c>
      <c r="E225" s="4" t="s">
        <v>16</v>
      </c>
      <c r="F225" s="4">
        <v>115</v>
      </c>
      <c r="G225" s="5">
        <v>692.75999999999988</v>
      </c>
    </row>
    <row r="226" spans="1:7">
      <c r="A226" s="4">
        <v>45</v>
      </c>
      <c r="B226" s="4" t="s">
        <v>7</v>
      </c>
      <c r="C226" s="4" t="s">
        <v>15</v>
      </c>
      <c r="D226" s="4" t="s">
        <v>12</v>
      </c>
      <c r="E226" s="4" t="s">
        <v>16</v>
      </c>
      <c r="F226" s="4">
        <v>117</v>
      </c>
      <c r="G226" s="5">
        <v>728.30159999999989</v>
      </c>
    </row>
    <row r="227" spans="1:7">
      <c r="A227" s="4">
        <v>46</v>
      </c>
      <c r="B227" s="4" t="s">
        <v>7</v>
      </c>
      <c r="C227" s="4" t="s">
        <v>15</v>
      </c>
      <c r="D227" s="4" t="s">
        <v>12</v>
      </c>
      <c r="E227" s="4" t="s">
        <v>16</v>
      </c>
      <c r="F227" s="4">
        <v>117</v>
      </c>
      <c r="G227" s="5">
        <v>998.47799999999984</v>
      </c>
    </row>
    <row r="228" spans="1:7">
      <c r="A228" s="4">
        <v>48</v>
      </c>
      <c r="B228" s="4" t="s">
        <v>7</v>
      </c>
      <c r="C228" s="4" t="s">
        <v>17</v>
      </c>
      <c r="D228" s="4" t="s">
        <v>12</v>
      </c>
      <c r="E228" s="4" t="s">
        <v>16</v>
      </c>
      <c r="F228" s="6">
        <v>122</v>
      </c>
      <c r="G228" s="6">
        <v>1045</v>
      </c>
    </row>
    <row r="229" spans="1:7">
      <c r="A229" s="4">
        <v>49</v>
      </c>
      <c r="B229" s="4" t="s">
        <v>7</v>
      </c>
      <c r="C229" s="4" t="s">
        <v>15</v>
      </c>
      <c r="D229" s="4" t="s">
        <v>12</v>
      </c>
      <c r="E229" s="4" t="s">
        <v>16</v>
      </c>
      <c r="F229" s="4">
        <v>125</v>
      </c>
      <c r="G229" s="5">
        <v>1004</v>
      </c>
    </row>
    <row r="230" spans="1:7">
      <c r="A230" s="4">
        <v>50</v>
      </c>
      <c r="B230" s="4" t="s">
        <v>11</v>
      </c>
      <c r="C230" s="6" t="s">
        <v>8</v>
      </c>
      <c r="D230" s="4" t="s">
        <v>12</v>
      </c>
      <c r="E230" s="4" t="s">
        <v>10</v>
      </c>
      <c r="F230" s="6">
        <v>127</v>
      </c>
      <c r="G230" s="6">
        <v>215</v>
      </c>
    </row>
    <row r="231" spans="1:7">
      <c r="A231" s="4">
        <v>51</v>
      </c>
      <c r="B231" s="4" t="s">
        <v>7</v>
      </c>
      <c r="C231" s="4" t="s">
        <v>15</v>
      </c>
      <c r="D231" s="4" t="s">
        <v>12</v>
      </c>
      <c r="E231" s="4" t="s">
        <v>16</v>
      </c>
      <c r="F231" s="4">
        <v>127</v>
      </c>
      <c r="G231" s="5">
        <v>1020.064</v>
      </c>
    </row>
    <row r="232" spans="1:7">
      <c r="A232" s="4">
        <v>52</v>
      </c>
      <c r="B232" s="4" t="s">
        <v>7</v>
      </c>
      <c r="C232" s="4" t="s">
        <v>15</v>
      </c>
      <c r="D232" s="4" t="s">
        <v>12</v>
      </c>
      <c r="E232" s="4" t="s">
        <v>16</v>
      </c>
      <c r="F232" s="6">
        <v>135</v>
      </c>
      <c r="G232" s="6">
        <v>1053</v>
      </c>
    </row>
    <row r="233" spans="1:7">
      <c r="A233" s="4">
        <v>54</v>
      </c>
      <c r="B233" s="4" t="s">
        <v>7</v>
      </c>
      <c r="C233" s="4" t="s">
        <v>15</v>
      </c>
      <c r="D233" s="4" t="s">
        <v>12</v>
      </c>
      <c r="E233" s="4" t="s">
        <v>16</v>
      </c>
      <c r="F233" s="4">
        <v>136</v>
      </c>
      <c r="G233" s="5">
        <v>1024.08</v>
      </c>
    </row>
    <row r="234" spans="1:7">
      <c r="A234" s="4">
        <v>55</v>
      </c>
      <c r="B234" s="4" t="s">
        <v>7</v>
      </c>
      <c r="C234" s="4" t="s">
        <v>15</v>
      </c>
      <c r="D234" s="4" t="s">
        <v>12</v>
      </c>
      <c r="E234" s="4" t="s">
        <v>16</v>
      </c>
      <c r="F234" s="4">
        <v>143</v>
      </c>
      <c r="G234" s="5">
        <v>861.4319999999999</v>
      </c>
    </row>
    <row r="235" spans="1:7">
      <c r="A235" s="4">
        <v>59</v>
      </c>
      <c r="B235" s="4" t="s">
        <v>7</v>
      </c>
      <c r="C235" s="4" t="s">
        <v>15</v>
      </c>
      <c r="D235" s="4" t="s">
        <v>12</v>
      </c>
      <c r="E235" s="4" t="s">
        <v>16</v>
      </c>
      <c r="F235" s="4">
        <v>153</v>
      </c>
      <c r="G235" s="5">
        <v>1228.896</v>
      </c>
    </row>
    <row r="236" spans="1:7">
      <c r="A236" s="4">
        <v>60</v>
      </c>
      <c r="B236" s="4" t="s">
        <v>7</v>
      </c>
      <c r="C236" s="4" t="s">
        <v>15</v>
      </c>
      <c r="D236" s="4" t="s">
        <v>12</v>
      </c>
      <c r="E236" s="4" t="s">
        <v>16</v>
      </c>
      <c r="F236" s="6">
        <v>156</v>
      </c>
      <c r="G236" s="6">
        <v>1025</v>
      </c>
    </row>
    <row r="237" spans="1:7">
      <c r="A237" s="4">
        <v>63</v>
      </c>
      <c r="B237" s="4" t="s">
        <v>7</v>
      </c>
      <c r="C237" s="4" t="s">
        <v>15</v>
      </c>
      <c r="D237" s="4" t="s">
        <v>12</v>
      </c>
      <c r="E237" s="4" t="s">
        <v>16</v>
      </c>
      <c r="F237" s="4">
        <v>162</v>
      </c>
      <c r="G237" s="5">
        <v>1305</v>
      </c>
    </row>
    <row r="238" spans="1:7">
      <c r="A238" s="4">
        <v>71</v>
      </c>
      <c r="B238" s="4" t="s">
        <v>7</v>
      </c>
      <c r="C238" s="4" t="s">
        <v>15</v>
      </c>
      <c r="D238" s="6" t="s">
        <v>14</v>
      </c>
      <c r="E238" s="4" t="s">
        <v>16</v>
      </c>
      <c r="F238" s="6">
        <v>183</v>
      </c>
      <c r="G238" s="6">
        <v>460</v>
      </c>
    </row>
    <row r="239" spans="1:7">
      <c r="A239" s="4">
        <v>72</v>
      </c>
      <c r="B239" s="4" t="s">
        <v>7</v>
      </c>
      <c r="C239" s="4" t="s">
        <v>17</v>
      </c>
      <c r="D239" s="4" t="s">
        <v>12</v>
      </c>
      <c r="E239" s="4" t="s">
        <v>16</v>
      </c>
      <c r="F239" s="6">
        <v>189</v>
      </c>
      <c r="G239" s="6">
        <v>315</v>
      </c>
    </row>
    <row r="240" spans="1:7">
      <c r="A240" s="4">
        <v>73</v>
      </c>
      <c r="B240" s="4" t="s">
        <v>7</v>
      </c>
      <c r="C240" s="4" t="s">
        <v>15</v>
      </c>
      <c r="D240" s="4" t="s">
        <v>12</v>
      </c>
      <c r="E240" s="4" t="s">
        <v>16</v>
      </c>
      <c r="F240" s="4">
        <v>193</v>
      </c>
      <c r="G240" s="5">
        <v>734</v>
      </c>
    </row>
    <row r="241" spans="1:8">
      <c r="A241" s="4">
        <v>74</v>
      </c>
      <c r="B241" s="4" t="s">
        <v>7</v>
      </c>
      <c r="C241" s="4" t="s">
        <v>17</v>
      </c>
      <c r="D241" s="4" t="s">
        <v>12</v>
      </c>
      <c r="E241" s="4" t="s">
        <v>16</v>
      </c>
      <c r="F241" s="6">
        <v>195</v>
      </c>
      <c r="G241" s="6">
        <v>322</v>
      </c>
    </row>
    <row r="242" spans="1:8">
      <c r="A242" s="4">
        <v>80</v>
      </c>
      <c r="B242" s="4" t="s">
        <v>7</v>
      </c>
      <c r="C242" s="4" t="s">
        <v>15</v>
      </c>
      <c r="D242" s="4" t="s">
        <v>12</v>
      </c>
      <c r="E242" s="4" t="s">
        <v>16</v>
      </c>
      <c r="F242" s="4">
        <v>310</v>
      </c>
      <c r="G242" s="5">
        <v>933.7199999999998</v>
      </c>
      <c r="H242" s="20" t="s">
        <v>31</v>
      </c>
    </row>
    <row r="245" spans="1:8" ht="32">
      <c r="A245" s="1" t="s">
        <v>0</v>
      </c>
      <c r="B245" s="8" t="s">
        <v>1</v>
      </c>
      <c r="C245" s="7" t="s">
        <v>2</v>
      </c>
      <c r="D245" s="7" t="s">
        <v>3</v>
      </c>
      <c r="E245" s="9" t="s">
        <v>4</v>
      </c>
      <c r="F245" s="2" t="s">
        <v>5</v>
      </c>
      <c r="G245" s="2" t="s">
        <v>6</v>
      </c>
    </row>
    <row r="246" spans="1:8">
      <c r="A246" s="4">
        <v>2</v>
      </c>
      <c r="B246" s="4" t="s">
        <v>11</v>
      </c>
      <c r="C246" s="6" t="s">
        <v>8</v>
      </c>
      <c r="D246" s="4" t="s">
        <v>12</v>
      </c>
      <c r="E246" s="4" t="s">
        <v>10</v>
      </c>
      <c r="F246" s="6">
        <v>28</v>
      </c>
      <c r="G246" s="6">
        <v>42</v>
      </c>
    </row>
    <row r="247" spans="1:8">
      <c r="A247" s="4">
        <v>3</v>
      </c>
      <c r="B247" s="4" t="s">
        <v>13</v>
      </c>
      <c r="C247" s="6" t="s">
        <v>8</v>
      </c>
      <c r="D247" s="6" t="s">
        <v>14</v>
      </c>
      <c r="E247" s="4" t="s">
        <v>10</v>
      </c>
      <c r="F247" s="6">
        <v>43</v>
      </c>
      <c r="G247" s="6">
        <v>150</v>
      </c>
    </row>
    <row r="248" spans="1:8">
      <c r="A248" s="4">
        <v>4</v>
      </c>
      <c r="B248" s="4" t="s">
        <v>11</v>
      </c>
      <c r="C248" s="6" t="s">
        <v>8</v>
      </c>
      <c r="D248" s="4" t="s">
        <v>12</v>
      </c>
      <c r="E248" s="4" t="s">
        <v>10</v>
      </c>
      <c r="F248" s="6">
        <v>45</v>
      </c>
      <c r="G248" s="6">
        <v>68</v>
      </c>
    </row>
    <row r="249" spans="1:8">
      <c r="A249" s="4">
        <v>7</v>
      </c>
      <c r="B249" s="4" t="s">
        <v>7</v>
      </c>
      <c r="C249" s="4" t="s">
        <v>15</v>
      </c>
      <c r="D249" s="4" t="s">
        <v>12</v>
      </c>
      <c r="E249" s="4" t="s">
        <v>16</v>
      </c>
      <c r="F249" s="4">
        <v>52</v>
      </c>
      <c r="G249" s="5">
        <v>274.09199999999998</v>
      </c>
    </row>
    <row r="250" spans="1:8">
      <c r="A250" s="4">
        <v>8</v>
      </c>
      <c r="B250" s="4" t="s">
        <v>7</v>
      </c>
      <c r="C250" s="4" t="s">
        <v>15</v>
      </c>
      <c r="D250" s="4" t="s">
        <v>12</v>
      </c>
      <c r="E250" s="4" t="s">
        <v>16</v>
      </c>
      <c r="F250" s="4">
        <v>61</v>
      </c>
      <c r="G250" s="5">
        <v>336.84199999999998</v>
      </c>
    </row>
    <row r="251" spans="1:8">
      <c r="A251" s="4">
        <v>9</v>
      </c>
      <c r="B251" s="4" t="s">
        <v>11</v>
      </c>
      <c r="C251" s="6" t="s">
        <v>8</v>
      </c>
      <c r="D251" s="4" t="s">
        <v>12</v>
      </c>
      <c r="E251" s="4" t="s">
        <v>10</v>
      </c>
      <c r="F251" s="6">
        <v>65</v>
      </c>
      <c r="G251" s="6">
        <v>139</v>
      </c>
    </row>
    <row r="252" spans="1:8">
      <c r="A252" s="4">
        <v>10</v>
      </c>
      <c r="B252" s="4" t="s">
        <v>7</v>
      </c>
      <c r="C252" s="4" t="s">
        <v>15</v>
      </c>
      <c r="D252" s="4" t="s">
        <v>12</v>
      </c>
      <c r="E252" s="4" t="s">
        <v>16</v>
      </c>
      <c r="F252" s="4">
        <v>68</v>
      </c>
      <c r="G252" s="5">
        <v>512.04</v>
      </c>
    </row>
    <row r="253" spans="1:8">
      <c r="A253" s="4">
        <v>12</v>
      </c>
      <c r="B253" s="4" t="s">
        <v>7</v>
      </c>
      <c r="C253" s="4" t="s">
        <v>15</v>
      </c>
      <c r="D253" s="4" t="s">
        <v>12</v>
      </c>
      <c r="E253" s="4" t="s">
        <v>16</v>
      </c>
      <c r="F253" s="4">
        <v>70</v>
      </c>
      <c r="G253" s="5">
        <v>379.512</v>
      </c>
    </row>
    <row r="254" spans="1:8">
      <c r="A254" s="4">
        <v>13</v>
      </c>
      <c r="B254" s="4" t="s">
        <v>7</v>
      </c>
      <c r="C254" s="4" t="s">
        <v>15</v>
      </c>
      <c r="D254" s="4" t="s">
        <v>12</v>
      </c>
      <c r="E254" s="4" t="s">
        <v>16</v>
      </c>
      <c r="F254" s="4">
        <v>72</v>
      </c>
      <c r="G254" s="5">
        <v>397.58399999999995</v>
      </c>
    </row>
    <row r="255" spans="1:8">
      <c r="A255" s="4">
        <v>14</v>
      </c>
      <c r="B255" s="4" t="s">
        <v>7</v>
      </c>
      <c r="C255" s="4" t="s">
        <v>15</v>
      </c>
      <c r="D255" s="4" t="s">
        <v>12</v>
      </c>
      <c r="E255" s="4" t="s">
        <v>16</v>
      </c>
      <c r="F255" s="4">
        <v>73</v>
      </c>
      <c r="G255" s="5">
        <v>659.62799999999993</v>
      </c>
    </row>
    <row r="256" spans="1:8">
      <c r="A256" s="4">
        <v>15</v>
      </c>
      <c r="B256" s="4" t="s">
        <v>7</v>
      </c>
      <c r="C256" s="4" t="s">
        <v>15</v>
      </c>
      <c r="D256" s="4" t="s">
        <v>12</v>
      </c>
      <c r="E256" s="4" t="s">
        <v>16</v>
      </c>
      <c r="F256" s="4">
        <v>74</v>
      </c>
      <c r="G256" s="5">
        <v>482.92399999999998</v>
      </c>
    </row>
    <row r="257" spans="1:7">
      <c r="A257" s="4">
        <v>16</v>
      </c>
      <c r="B257" s="4" t="s">
        <v>11</v>
      </c>
      <c r="C257" s="6" t="s">
        <v>8</v>
      </c>
      <c r="D257" s="4" t="s">
        <v>12</v>
      </c>
      <c r="E257" s="4" t="s">
        <v>10</v>
      </c>
      <c r="F257" s="6">
        <v>75</v>
      </c>
      <c r="G257" s="6">
        <v>110</v>
      </c>
    </row>
    <row r="258" spans="1:7">
      <c r="A258" s="4">
        <v>17</v>
      </c>
      <c r="B258" s="4" t="s">
        <v>7</v>
      </c>
      <c r="C258" s="4" t="s">
        <v>17</v>
      </c>
      <c r="D258" s="6" t="s">
        <v>14</v>
      </c>
      <c r="E258" s="4" t="s">
        <v>16</v>
      </c>
      <c r="F258" s="6">
        <v>76</v>
      </c>
      <c r="G258" s="6">
        <v>1100</v>
      </c>
    </row>
    <row r="259" spans="1:7">
      <c r="A259" s="4">
        <v>19</v>
      </c>
      <c r="B259" s="4" t="s">
        <v>7</v>
      </c>
      <c r="C259" s="4" t="s">
        <v>15</v>
      </c>
      <c r="D259" s="4" t="s">
        <v>12</v>
      </c>
      <c r="E259" s="4" t="s">
        <v>16</v>
      </c>
      <c r="F259" s="4">
        <v>79</v>
      </c>
      <c r="G259" s="5">
        <v>475.89599999999996</v>
      </c>
    </row>
    <row r="260" spans="1:7">
      <c r="A260" s="4">
        <v>23</v>
      </c>
      <c r="B260" s="4" t="s">
        <v>7</v>
      </c>
      <c r="C260" s="4" t="s">
        <v>15</v>
      </c>
      <c r="D260" s="4" t="s">
        <v>12</v>
      </c>
      <c r="E260" s="4" t="s">
        <v>16</v>
      </c>
      <c r="F260" s="4">
        <v>81</v>
      </c>
      <c r="G260" s="5">
        <v>691.25399999999991</v>
      </c>
    </row>
    <row r="261" spans="1:7">
      <c r="A261" s="4">
        <v>24</v>
      </c>
      <c r="B261" s="4" t="s">
        <v>7</v>
      </c>
      <c r="C261" s="4" t="s">
        <v>15</v>
      </c>
      <c r="D261" s="4" t="s">
        <v>12</v>
      </c>
      <c r="E261" s="4" t="s">
        <v>16</v>
      </c>
      <c r="F261" s="4">
        <v>83</v>
      </c>
      <c r="G261" s="5">
        <v>466.6592</v>
      </c>
    </row>
    <row r="262" spans="1:7">
      <c r="A262" s="4">
        <v>26</v>
      </c>
      <c r="B262" s="4" t="s">
        <v>7</v>
      </c>
      <c r="C262" s="4" t="s">
        <v>15</v>
      </c>
      <c r="D262" s="4" t="s">
        <v>12</v>
      </c>
      <c r="E262" s="4" t="s">
        <v>16</v>
      </c>
      <c r="F262" s="4">
        <v>84</v>
      </c>
      <c r="G262" s="5">
        <v>421.67999999999995</v>
      </c>
    </row>
    <row r="263" spans="1:7">
      <c r="A263" s="4">
        <v>27</v>
      </c>
      <c r="B263" s="4" t="s">
        <v>7</v>
      </c>
      <c r="C263" s="4" t="s">
        <v>15</v>
      </c>
      <c r="D263" s="4" t="s">
        <v>12</v>
      </c>
      <c r="E263" s="4" t="s">
        <v>16</v>
      </c>
      <c r="F263" s="4">
        <v>85</v>
      </c>
      <c r="G263" s="5">
        <v>725.39</v>
      </c>
    </row>
    <row r="264" spans="1:7">
      <c r="A264" s="4">
        <v>30</v>
      </c>
      <c r="B264" s="4" t="s">
        <v>7</v>
      </c>
      <c r="C264" s="4" t="s">
        <v>15</v>
      </c>
      <c r="D264" s="4" t="s">
        <v>12</v>
      </c>
      <c r="E264" s="4" t="s">
        <v>16</v>
      </c>
      <c r="F264" s="4">
        <v>90</v>
      </c>
      <c r="G264" s="5">
        <v>406.61999999999995</v>
      </c>
    </row>
    <row r="265" spans="1:7">
      <c r="A265" s="4">
        <v>31</v>
      </c>
      <c r="B265" s="4" t="s">
        <v>11</v>
      </c>
      <c r="C265" s="4" t="s">
        <v>17</v>
      </c>
      <c r="D265" s="4" t="s">
        <v>12</v>
      </c>
      <c r="E265" s="4" t="s">
        <v>10</v>
      </c>
      <c r="F265" s="6">
        <v>92</v>
      </c>
      <c r="G265" s="6">
        <v>195</v>
      </c>
    </row>
    <row r="266" spans="1:7">
      <c r="A266" s="4">
        <v>32</v>
      </c>
      <c r="B266" s="4" t="s">
        <v>7</v>
      </c>
      <c r="C266" s="4" t="s">
        <v>15</v>
      </c>
      <c r="D266" s="4" t="s">
        <v>12</v>
      </c>
      <c r="E266" s="4" t="s">
        <v>16</v>
      </c>
      <c r="F266" s="4">
        <v>92</v>
      </c>
      <c r="G266" s="5">
        <v>831.31200000000001</v>
      </c>
    </row>
    <row r="267" spans="1:7">
      <c r="A267" s="4">
        <v>33</v>
      </c>
      <c r="B267" s="4" t="s">
        <v>7</v>
      </c>
      <c r="C267" s="4" t="s">
        <v>15</v>
      </c>
      <c r="D267" s="4" t="s">
        <v>12</v>
      </c>
      <c r="E267" s="4" t="s">
        <v>16</v>
      </c>
      <c r="F267" s="4">
        <v>100</v>
      </c>
      <c r="G267" s="5">
        <v>702.79999999999984</v>
      </c>
    </row>
    <row r="268" spans="1:7">
      <c r="A268" s="4">
        <v>35</v>
      </c>
      <c r="B268" s="4" t="s">
        <v>7</v>
      </c>
      <c r="C268" s="4" t="s">
        <v>15</v>
      </c>
      <c r="D268" s="4" t="s">
        <v>12</v>
      </c>
      <c r="E268" s="4" t="s">
        <v>16</v>
      </c>
      <c r="F268" s="4">
        <v>102</v>
      </c>
      <c r="G268" s="5">
        <v>921.67199999999991</v>
      </c>
    </row>
    <row r="269" spans="1:7">
      <c r="A269" s="4">
        <v>37</v>
      </c>
      <c r="B269" s="4" t="s">
        <v>7</v>
      </c>
      <c r="C269" s="4" t="s">
        <v>15</v>
      </c>
      <c r="D269" s="4" t="s">
        <v>12</v>
      </c>
      <c r="E269" s="4" t="s">
        <v>16</v>
      </c>
      <c r="F269" s="4">
        <v>108</v>
      </c>
      <c r="G269" s="5">
        <v>650.59199999999998</v>
      </c>
    </row>
    <row r="270" spans="1:7">
      <c r="A270" s="4">
        <v>39</v>
      </c>
      <c r="B270" s="4" t="s">
        <v>7</v>
      </c>
      <c r="C270" s="4" t="s">
        <v>17</v>
      </c>
      <c r="D270" s="4" t="s">
        <v>12</v>
      </c>
      <c r="E270" s="4" t="s">
        <v>16</v>
      </c>
      <c r="F270" s="6">
        <v>110</v>
      </c>
      <c r="G270" s="6">
        <v>884</v>
      </c>
    </row>
    <row r="271" spans="1:7">
      <c r="A271" s="4">
        <v>40</v>
      </c>
      <c r="B271" s="4" t="s">
        <v>7</v>
      </c>
      <c r="C271" s="4" t="s">
        <v>15</v>
      </c>
      <c r="D271" s="4" t="s">
        <v>12</v>
      </c>
      <c r="E271" s="4" t="s">
        <v>16</v>
      </c>
      <c r="F271" s="4">
        <v>114</v>
      </c>
      <c r="G271" s="5">
        <v>502</v>
      </c>
    </row>
    <row r="272" spans="1:7">
      <c r="A272" s="4">
        <v>43</v>
      </c>
      <c r="B272" s="4" t="s">
        <v>7</v>
      </c>
      <c r="C272" s="4" t="s">
        <v>15</v>
      </c>
      <c r="D272" s="4" t="s">
        <v>12</v>
      </c>
      <c r="E272" s="4" t="s">
        <v>16</v>
      </c>
      <c r="F272" s="4">
        <v>115</v>
      </c>
      <c r="G272" s="5">
        <v>692.75999999999988</v>
      </c>
    </row>
    <row r="273" spans="1:7">
      <c r="A273" s="4">
        <v>45</v>
      </c>
      <c r="B273" s="4" t="s">
        <v>7</v>
      </c>
      <c r="C273" s="4" t="s">
        <v>15</v>
      </c>
      <c r="D273" s="4" t="s">
        <v>12</v>
      </c>
      <c r="E273" s="4" t="s">
        <v>16</v>
      </c>
      <c r="F273" s="4">
        <v>117</v>
      </c>
      <c r="G273" s="5">
        <v>728.30159999999989</v>
      </c>
    </row>
    <row r="274" spans="1:7">
      <c r="A274" s="4">
        <v>46</v>
      </c>
      <c r="B274" s="4" t="s">
        <v>7</v>
      </c>
      <c r="C274" s="4" t="s">
        <v>15</v>
      </c>
      <c r="D274" s="4" t="s">
        <v>12</v>
      </c>
      <c r="E274" s="4" t="s">
        <v>16</v>
      </c>
      <c r="F274" s="4">
        <v>117</v>
      </c>
      <c r="G274" s="5">
        <v>998.47799999999984</v>
      </c>
    </row>
    <row r="275" spans="1:7">
      <c r="A275" s="4">
        <v>48</v>
      </c>
      <c r="B275" s="4" t="s">
        <v>7</v>
      </c>
      <c r="C275" s="4" t="s">
        <v>17</v>
      </c>
      <c r="D275" s="4" t="s">
        <v>12</v>
      </c>
      <c r="E275" s="4" t="s">
        <v>16</v>
      </c>
      <c r="F275" s="6">
        <v>122</v>
      </c>
      <c r="G275" s="6">
        <v>1045</v>
      </c>
    </row>
    <row r="276" spans="1:7">
      <c r="A276" s="4">
        <v>49</v>
      </c>
      <c r="B276" s="4" t="s">
        <v>7</v>
      </c>
      <c r="C276" s="4" t="s">
        <v>15</v>
      </c>
      <c r="D276" s="4" t="s">
        <v>12</v>
      </c>
      <c r="E276" s="4" t="s">
        <v>16</v>
      </c>
      <c r="F276" s="4">
        <v>125</v>
      </c>
      <c r="G276" s="5">
        <v>1004</v>
      </c>
    </row>
    <row r="277" spans="1:7">
      <c r="A277" s="4">
        <v>50</v>
      </c>
      <c r="B277" s="4" t="s">
        <v>11</v>
      </c>
      <c r="C277" s="6" t="s">
        <v>8</v>
      </c>
      <c r="D277" s="4" t="s">
        <v>12</v>
      </c>
      <c r="E277" s="4" t="s">
        <v>10</v>
      </c>
      <c r="F277" s="6">
        <v>127</v>
      </c>
      <c r="G277" s="6">
        <v>215</v>
      </c>
    </row>
    <row r="278" spans="1:7">
      <c r="A278" s="4">
        <v>51</v>
      </c>
      <c r="B278" s="4" t="s">
        <v>7</v>
      </c>
      <c r="C278" s="4" t="s">
        <v>15</v>
      </c>
      <c r="D278" s="4" t="s">
        <v>12</v>
      </c>
      <c r="E278" s="4" t="s">
        <v>16</v>
      </c>
      <c r="F278" s="4">
        <v>127</v>
      </c>
      <c r="G278" s="5">
        <v>1020.064</v>
      </c>
    </row>
    <row r="279" spans="1:7">
      <c r="A279" s="4">
        <v>52</v>
      </c>
      <c r="B279" s="4" t="s">
        <v>7</v>
      </c>
      <c r="C279" s="4" t="s">
        <v>15</v>
      </c>
      <c r="D279" s="4" t="s">
        <v>12</v>
      </c>
      <c r="E279" s="4" t="s">
        <v>16</v>
      </c>
      <c r="F279" s="6">
        <v>135</v>
      </c>
      <c r="G279" s="6">
        <v>1053</v>
      </c>
    </row>
    <row r="280" spans="1:7">
      <c r="A280" s="4">
        <v>54</v>
      </c>
      <c r="B280" s="4" t="s">
        <v>7</v>
      </c>
      <c r="C280" s="4" t="s">
        <v>15</v>
      </c>
      <c r="D280" s="4" t="s">
        <v>12</v>
      </c>
      <c r="E280" s="4" t="s">
        <v>16</v>
      </c>
      <c r="F280" s="4">
        <v>136</v>
      </c>
      <c r="G280" s="5">
        <v>1024.08</v>
      </c>
    </row>
    <row r="281" spans="1:7">
      <c r="A281" s="4">
        <v>55</v>
      </c>
      <c r="B281" s="4" t="s">
        <v>7</v>
      </c>
      <c r="C281" s="4" t="s">
        <v>15</v>
      </c>
      <c r="D281" s="4" t="s">
        <v>12</v>
      </c>
      <c r="E281" s="4" t="s">
        <v>16</v>
      </c>
      <c r="F281" s="4">
        <v>143</v>
      </c>
      <c r="G281" s="5">
        <v>861.4319999999999</v>
      </c>
    </row>
    <row r="282" spans="1:7">
      <c r="A282" s="4">
        <v>59</v>
      </c>
      <c r="B282" s="4" t="s">
        <v>7</v>
      </c>
      <c r="C282" s="4" t="s">
        <v>15</v>
      </c>
      <c r="D282" s="4" t="s">
        <v>12</v>
      </c>
      <c r="E282" s="4" t="s">
        <v>16</v>
      </c>
      <c r="F282" s="4">
        <v>153</v>
      </c>
      <c r="G282" s="5">
        <v>1228.896</v>
      </c>
    </row>
    <row r="283" spans="1:7">
      <c r="A283" s="4">
        <v>60</v>
      </c>
      <c r="B283" s="4" t="s">
        <v>7</v>
      </c>
      <c r="C283" s="4" t="s">
        <v>15</v>
      </c>
      <c r="D283" s="4" t="s">
        <v>12</v>
      </c>
      <c r="E283" s="4" t="s">
        <v>16</v>
      </c>
      <c r="F283" s="6">
        <v>156</v>
      </c>
      <c r="G283" s="6">
        <v>1025</v>
      </c>
    </row>
    <row r="284" spans="1:7">
      <c r="A284" s="4">
        <v>63</v>
      </c>
      <c r="B284" s="4" t="s">
        <v>7</v>
      </c>
      <c r="C284" s="4" t="s">
        <v>15</v>
      </c>
      <c r="D284" s="4" t="s">
        <v>12</v>
      </c>
      <c r="E284" s="4" t="s">
        <v>16</v>
      </c>
      <c r="F284" s="4">
        <v>162</v>
      </c>
      <c r="G284" s="5">
        <v>1305</v>
      </c>
    </row>
    <row r="285" spans="1:7">
      <c r="A285" s="4">
        <v>71</v>
      </c>
      <c r="B285" s="4" t="s">
        <v>7</v>
      </c>
      <c r="C285" s="4" t="s">
        <v>15</v>
      </c>
      <c r="D285" s="6" t="s">
        <v>14</v>
      </c>
      <c r="E285" s="4" t="s">
        <v>16</v>
      </c>
      <c r="F285" s="6">
        <v>183</v>
      </c>
      <c r="G285" s="6">
        <v>460</v>
      </c>
    </row>
    <row r="286" spans="1:7">
      <c r="A286" s="4">
        <v>72</v>
      </c>
      <c r="B286" s="4" t="s">
        <v>7</v>
      </c>
      <c r="C286" s="4" t="s">
        <v>17</v>
      </c>
      <c r="D286" s="4" t="s">
        <v>12</v>
      </c>
      <c r="E286" s="4" t="s">
        <v>16</v>
      </c>
      <c r="F286" s="6">
        <v>189</v>
      </c>
      <c r="G286" s="6">
        <v>315</v>
      </c>
    </row>
    <row r="287" spans="1:7">
      <c r="A287" s="4">
        <v>73</v>
      </c>
      <c r="B287" s="4" t="s">
        <v>7</v>
      </c>
      <c r="C287" s="4" t="s">
        <v>15</v>
      </c>
      <c r="D287" s="4" t="s">
        <v>12</v>
      </c>
      <c r="E287" s="4" t="s">
        <v>16</v>
      </c>
      <c r="F287" s="4">
        <v>193</v>
      </c>
      <c r="G287" s="5">
        <v>734</v>
      </c>
    </row>
    <row r="288" spans="1:7">
      <c r="A288" s="4">
        <v>74</v>
      </c>
      <c r="B288" s="4" t="s">
        <v>7</v>
      </c>
      <c r="C288" s="4" t="s">
        <v>17</v>
      </c>
      <c r="D288" s="4" t="s">
        <v>12</v>
      </c>
      <c r="E288" s="4" t="s">
        <v>16</v>
      </c>
      <c r="F288" s="6">
        <v>195</v>
      </c>
      <c r="G288" s="6">
        <v>322</v>
      </c>
    </row>
    <row r="291" spans="1:7">
      <c r="A291" t="s">
        <v>28</v>
      </c>
    </row>
    <row r="292" spans="1:7" ht="20">
      <c r="A292" s="13" t="s">
        <v>29</v>
      </c>
    </row>
    <row r="293" spans="1:7" ht="17">
      <c r="A293" s="14" t="s">
        <v>30</v>
      </c>
      <c r="B293" s="14" t="s">
        <v>6</v>
      </c>
      <c r="C293" s="14"/>
      <c r="D293" s="14"/>
      <c r="E293" s="14"/>
      <c r="F293" s="14"/>
    </row>
    <row r="294" spans="1:7" ht="17">
      <c r="A294" s="14">
        <v>41</v>
      </c>
      <c r="B294" s="14">
        <v>315</v>
      </c>
      <c r="C294" s="14"/>
      <c r="D294" s="14"/>
      <c r="E294" s="14"/>
      <c r="F294" s="14"/>
    </row>
    <row r="295" spans="1:7" ht="17">
      <c r="A295" s="14">
        <v>43</v>
      </c>
      <c r="B295" s="14">
        <v>322</v>
      </c>
      <c r="C295" s="14"/>
      <c r="D295" s="14"/>
      <c r="E295" s="14"/>
      <c r="F295" s="14"/>
    </row>
    <row r="297" spans="1:7" ht="32">
      <c r="A297" s="1" t="s">
        <v>0</v>
      </c>
      <c r="B297" s="8" t="s">
        <v>1</v>
      </c>
      <c r="C297" s="7" t="s">
        <v>2</v>
      </c>
      <c r="D297" s="7" t="s">
        <v>3</v>
      </c>
      <c r="E297" s="9" t="s">
        <v>4</v>
      </c>
      <c r="F297" s="2" t="s">
        <v>5</v>
      </c>
      <c r="G297" s="2" t="s">
        <v>6</v>
      </c>
    </row>
    <row r="298" spans="1:7">
      <c r="A298" s="4">
        <v>2</v>
      </c>
      <c r="B298" s="4" t="s">
        <v>11</v>
      </c>
      <c r="C298" s="6" t="s">
        <v>8</v>
      </c>
      <c r="D298" s="4" t="s">
        <v>12</v>
      </c>
      <c r="E298" s="4" t="s">
        <v>10</v>
      </c>
      <c r="F298" s="6">
        <v>28</v>
      </c>
      <c r="G298" s="6">
        <v>42</v>
      </c>
    </row>
    <row r="299" spans="1:7">
      <c r="A299" s="4">
        <v>3</v>
      </c>
      <c r="B299" s="4" t="s">
        <v>13</v>
      </c>
      <c r="C299" s="6" t="s">
        <v>8</v>
      </c>
      <c r="D299" s="6" t="s">
        <v>14</v>
      </c>
      <c r="E299" s="4" t="s">
        <v>10</v>
      </c>
      <c r="F299" s="6">
        <v>43</v>
      </c>
      <c r="G299" s="6">
        <v>150</v>
      </c>
    </row>
    <row r="300" spans="1:7">
      <c r="A300" s="4">
        <v>4</v>
      </c>
      <c r="B300" s="4" t="s">
        <v>11</v>
      </c>
      <c r="C300" s="6" t="s">
        <v>8</v>
      </c>
      <c r="D300" s="4" t="s">
        <v>12</v>
      </c>
      <c r="E300" s="4" t="s">
        <v>10</v>
      </c>
      <c r="F300" s="6">
        <v>45</v>
      </c>
      <c r="G300" s="6">
        <v>68</v>
      </c>
    </row>
    <row r="301" spans="1:7">
      <c r="A301" s="4">
        <v>7</v>
      </c>
      <c r="B301" s="4" t="s">
        <v>7</v>
      </c>
      <c r="C301" s="4" t="s">
        <v>15</v>
      </c>
      <c r="D301" s="4" t="s">
        <v>12</v>
      </c>
      <c r="E301" s="4" t="s">
        <v>16</v>
      </c>
      <c r="F301" s="4">
        <v>52</v>
      </c>
      <c r="G301" s="5">
        <v>274.09199999999998</v>
      </c>
    </row>
    <row r="302" spans="1:7">
      <c r="A302" s="4">
        <v>8</v>
      </c>
      <c r="B302" s="4" t="s">
        <v>7</v>
      </c>
      <c r="C302" s="4" t="s">
        <v>15</v>
      </c>
      <c r="D302" s="4" t="s">
        <v>12</v>
      </c>
      <c r="E302" s="4" t="s">
        <v>16</v>
      </c>
      <c r="F302" s="4">
        <v>61</v>
      </c>
      <c r="G302" s="5">
        <v>336.84199999999998</v>
      </c>
    </row>
    <row r="303" spans="1:7">
      <c r="A303" s="4">
        <v>9</v>
      </c>
      <c r="B303" s="4" t="s">
        <v>11</v>
      </c>
      <c r="C303" s="6" t="s">
        <v>8</v>
      </c>
      <c r="D303" s="4" t="s">
        <v>12</v>
      </c>
      <c r="E303" s="4" t="s">
        <v>10</v>
      </c>
      <c r="F303" s="6">
        <v>65</v>
      </c>
      <c r="G303" s="6">
        <v>139</v>
      </c>
    </row>
    <row r="304" spans="1:7">
      <c r="A304" s="4">
        <v>10</v>
      </c>
      <c r="B304" s="4" t="s">
        <v>7</v>
      </c>
      <c r="C304" s="4" t="s">
        <v>15</v>
      </c>
      <c r="D304" s="4" t="s">
        <v>12</v>
      </c>
      <c r="E304" s="4" t="s">
        <v>16</v>
      </c>
      <c r="F304" s="4">
        <v>68</v>
      </c>
      <c r="G304" s="5">
        <v>512.04</v>
      </c>
    </row>
    <row r="305" spans="1:7">
      <c r="A305" s="4">
        <v>12</v>
      </c>
      <c r="B305" s="4" t="s">
        <v>7</v>
      </c>
      <c r="C305" s="4" t="s">
        <v>15</v>
      </c>
      <c r="D305" s="4" t="s">
        <v>12</v>
      </c>
      <c r="E305" s="4" t="s">
        <v>16</v>
      </c>
      <c r="F305" s="4">
        <v>70</v>
      </c>
      <c r="G305" s="5">
        <v>379.512</v>
      </c>
    </row>
    <row r="306" spans="1:7">
      <c r="A306" s="4">
        <v>13</v>
      </c>
      <c r="B306" s="4" t="s">
        <v>7</v>
      </c>
      <c r="C306" s="4" t="s">
        <v>15</v>
      </c>
      <c r="D306" s="4" t="s">
        <v>12</v>
      </c>
      <c r="E306" s="4" t="s">
        <v>16</v>
      </c>
      <c r="F306" s="4">
        <v>72</v>
      </c>
      <c r="G306" s="5">
        <v>397.58399999999995</v>
      </c>
    </row>
    <row r="307" spans="1:7">
      <c r="A307" s="4">
        <v>14</v>
      </c>
      <c r="B307" s="4" t="s">
        <v>7</v>
      </c>
      <c r="C307" s="4" t="s">
        <v>15</v>
      </c>
      <c r="D307" s="4" t="s">
        <v>12</v>
      </c>
      <c r="E307" s="4" t="s">
        <v>16</v>
      </c>
      <c r="F307" s="4">
        <v>73</v>
      </c>
      <c r="G307" s="5">
        <v>659.62799999999993</v>
      </c>
    </row>
    <row r="308" spans="1:7">
      <c r="A308" s="4">
        <v>15</v>
      </c>
      <c r="B308" s="4" t="s">
        <v>7</v>
      </c>
      <c r="C308" s="4" t="s">
        <v>15</v>
      </c>
      <c r="D308" s="4" t="s">
        <v>12</v>
      </c>
      <c r="E308" s="4" t="s">
        <v>16</v>
      </c>
      <c r="F308" s="4">
        <v>74</v>
      </c>
      <c r="G308" s="5">
        <v>482.92399999999998</v>
      </c>
    </row>
    <row r="309" spans="1:7">
      <c r="A309" s="4">
        <v>16</v>
      </c>
      <c r="B309" s="4" t="s">
        <v>11</v>
      </c>
      <c r="C309" s="6" t="s">
        <v>8</v>
      </c>
      <c r="D309" s="4" t="s">
        <v>12</v>
      </c>
      <c r="E309" s="4" t="s">
        <v>10</v>
      </c>
      <c r="F309" s="6">
        <v>75</v>
      </c>
      <c r="G309" s="6">
        <v>110</v>
      </c>
    </row>
    <row r="310" spans="1:7">
      <c r="A310" s="4">
        <v>17</v>
      </c>
      <c r="B310" s="4" t="s">
        <v>7</v>
      </c>
      <c r="C310" s="4" t="s">
        <v>17</v>
      </c>
      <c r="D310" s="6" t="s">
        <v>14</v>
      </c>
      <c r="E310" s="4" t="s">
        <v>16</v>
      </c>
      <c r="F310" s="6">
        <v>76</v>
      </c>
      <c r="G310" s="6">
        <v>1100</v>
      </c>
    </row>
    <row r="311" spans="1:7">
      <c r="A311" s="4">
        <v>19</v>
      </c>
      <c r="B311" s="4" t="s">
        <v>7</v>
      </c>
      <c r="C311" s="4" t="s">
        <v>15</v>
      </c>
      <c r="D311" s="4" t="s">
        <v>12</v>
      </c>
      <c r="E311" s="4" t="s">
        <v>16</v>
      </c>
      <c r="F311" s="4">
        <v>79</v>
      </c>
      <c r="G311" s="5">
        <v>475.89599999999996</v>
      </c>
    </row>
    <row r="312" spans="1:7">
      <c r="A312" s="4">
        <v>23</v>
      </c>
      <c r="B312" s="4" t="s">
        <v>7</v>
      </c>
      <c r="C312" s="4" t="s">
        <v>15</v>
      </c>
      <c r="D312" s="4" t="s">
        <v>12</v>
      </c>
      <c r="E312" s="4" t="s">
        <v>16</v>
      </c>
      <c r="F312" s="4">
        <v>81</v>
      </c>
      <c r="G312" s="5">
        <v>691.25399999999991</v>
      </c>
    </row>
    <row r="313" spans="1:7">
      <c r="A313" s="4">
        <v>24</v>
      </c>
      <c r="B313" s="4" t="s">
        <v>7</v>
      </c>
      <c r="C313" s="4" t="s">
        <v>15</v>
      </c>
      <c r="D313" s="4" t="s">
        <v>12</v>
      </c>
      <c r="E313" s="4" t="s">
        <v>16</v>
      </c>
      <c r="F313" s="4">
        <v>83</v>
      </c>
      <c r="G313" s="5">
        <v>466.6592</v>
      </c>
    </row>
    <row r="314" spans="1:7">
      <c r="A314" s="4">
        <v>26</v>
      </c>
      <c r="B314" s="4" t="s">
        <v>7</v>
      </c>
      <c r="C314" s="4" t="s">
        <v>15</v>
      </c>
      <c r="D314" s="4" t="s">
        <v>12</v>
      </c>
      <c r="E314" s="4" t="s">
        <v>16</v>
      </c>
      <c r="F314" s="4">
        <v>84</v>
      </c>
      <c r="G314" s="5">
        <v>421.67999999999995</v>
      </c>
    </row>
    <row r="315" spans="1:7">
      <c r="A315" s="4">
        <v>27</v>
      </c>
      <c r="B315" s="4" t="s">
        <v>7</v>
      </c>
      <c r="C315" s="4" t="s">
        <v>15</v>
      </c>
      <c r="D315" s="4" t="s">
        <v>12</v>
      </c>
      <c r="E315" s="4" t="s">
        <v>16</v>
      </c>
      <c r="F315" s="4">
        <v>85</v>
      </c>
      <c r="G315" s="5">
        <v>725.39</v>
      </c>
    </row>
    <row r="316" spans="1:7">
      <c r="A316" s="4">
        <v>30</v>
      </c>
      <c r="B316" s="4" t="s">
        <v>7</v>
      </c>
      <c r="C316" s="4" t="s">
        <v>15</v>
      </c>
      <c r="D316" s="4" t="s">
        <v>12</v>
      </c>
      <c r="E316" s="4" t="s">
        <v>16</v>
      </c>
      <c r="F316" s="4">
        <v>90</v>
      </c>
      <c r="G316" s="5">
        <v>406.61999999999995</v>
      </c>
    </row>
    <row r="317" spans="1:7">
      <c r="A317" s="4">
        <v>31</v>
      </c>
      <c r="B317" s="4" t="s">
        <v>11</v>
      </c>
      <c r="C317" s="4" t="s">
        <v>17</v>
      </c>
      <c r="D317" s="4" t="s">
        <v>12</v>
      </c>
      <c r="E317" s="4" t="s">
        <v>10</v>
      </c>
      <c r="F317" s="6">
        <v>92</v>
      </c>
      <c r="G317" s="6">
        <v>195</v>
      </c>
    </row>
    <row r="318" spans="1:7">
      <c r="A318" s="4">
        <v>32</v>
      </c>
      <c r="B318" s="4" t="s">
        <v>7</v>
      </c>
      <c r="C318" s="4" t="s">
        <v>15</v>
      </c>
      <c r="D318" s="4" t="s">
        <v>12</v>
      </c>
      <c r="E318" s="4" t="s">
        <v>16</v>
      </c>
      <c r="F318" s="4">
        <v>92</v>
      </c>
      <c r="G318" s="5">
        <v>831.31200000000001</v>
      </c>
    </row>
    <row r="319" spans="1:7">
      <c r="A319" s="4">
        <v>33</v>
      </c>
      <c r="B319" s="4" t="s">
        <v>7</v>
      </c>
      <c r="C319" s="4" t="s">
        <v>15</v>
      </c>
      <c r="D319" s="4" t="s">
        <v>12</v>
      </c>
      <c r="E319" s="4" t="s">
        <v>16</v>
      </c>
      <c r="F319" s="4">
        <v>100</v>
      </c>
      <c r="G319" s="5">
        <v>702.79999999999984</v>
      </c>
    </row>
    <row r="320" spans="1:7">
      <c r="A320" s="4">
        <v>35</v>
      </c>
      <c r="B320" s="4" t="s">
        <v>7</v>
      </c>
      <c r="C320" s="4" t="s">
        <v>15</v>
      </c>
      <c r="D320" s="4" t="s">
        <v>12</v>
      </c>
      <c r="E320" s="4" t="s">
        <v>16</v>
      </c>
      <c r="F320" s="4">
        <v>102</v>
      </c>
      <c r="G320" s="5">
        <v>921.67199999999991</v>
      </c>
    </row>
    <row r="321" spans="1:7">
      <c r="A321" s="4">
        <v>37</v>
      </c>
      <c r="B321" s="4" t="s">
        <v>7</v>
      </c>
      <c r="C321" s="4" t="s">
        <v>15</v>
      </c>
      <c r="D321" s="4" t="s">
        <v>12</v>
      </c>
      <c r="E321" s="4" t="s">
        <v>16</v>
      </c>
      <c r="F321" s="4">
        <v>108</v>
      </c>
      <c r="G321" s="5">
        <v>650.59199999999998</v>
      </c>
    </row>
    <row r="322" spans="1:7">
      <c r="A322" s="4">
        <v>39</v>
      </c>
      <c r="B322" s="4" t="s">
        <v>7</v>
      </c>
      <c r="C322" s="4" t="s">
        <v>17</v>
      </c>
      <c r="D322" s="4" t="s">
        <v>12</v>
      </c>
      <c r="E322" s="4" t="s">
        <v>16</v>
      </c>
      <c r="F322" s="6">
        <v>110</v>
      </c>
      <c r="G322" s="6">
        <v>884</v>
      </c>
    </row>
    <row r="323" spans="1:7">
      <c r="A323" s="4">
        <v>40</v>
      </c>
      <c r="B323" s="4" t="s">
        <v>7</v>
      </c>
      <c r="C323" s="4" t="s">
        <v>15</v>
      </c>
      <c r="D323" s="4" t="s">
        <v>12</v>
      </c>
      <c r="E323" s="4" t="s">
        <v>16</v>
      </c>
      <c r="F323" s="4">
        <v>114</v>
      </c>
      <c r="G323" s="5">
        <v>502</v>
      </c>
    </row>
    <row r="324" spans="1:7">
      <c r="A324" s="4">
        <v>43</v>
      </c>
      <c r="B324" s="4" t="s">
        <v>7</v>
      </c>
      <c r="C324" s="4" t="s">
        <v>15</v>
      </c>
      <c r="D324" s="4" t="s">
        <v>12</v>
      </c>
      <c r="E324" s="4" t="s">
        <v>16</v>
      </c>
      <c r="F324" s="4">
        <v>115</v>
      </c>
      <c r="G324" s="5">
        <v>692.75999999999988</v>
      </c>
    </row>
    <row r="325" spans="1:7">
      <c r="A325" s="4">
        <v>45</v>
      </c>
      <c r="B325" s="4" t="s">
        <v>7</v>
      </c>
      <c r="C325" s="4" t="s">
        <v>15</v>
      </c>
      <c r="D325" s="4" t="s">
        <v>12</v>
      </c>
      <c r="E325" s="4" t="s">
        <v>16</v>
      </c>
      <c r="F325" s="4">
        <v>117</v>
      </c>
      <c r="G325" s="5">
        <v>728.30159999999989</v>
      </c>
    </row>
    <row r="326" spans="1:7">
      <c r="A326" s="4">
        <v>46</v>
      </c>
      <c r="B326" s="4" t="s">
        <v>7</v>
      </c>
      <c r="C326" s="4" t="s">
        <v>15</v>
      </c>
      <c r="D326" s="4" t="s">
        <v>12</v>
      </c>
      <c r="E326" s="4" t="s">
        <v>16</v>
      </c>
      <c r="F326" s="4">
        <v>117</v>
      </c>
      <c r="G326" s="5">
        <v>998.47799999999984</v>
      </c>
    </row>
    <row r="327" spans="1:7">
      <c r="A327" s="4">
        <v>48</v>
      </c>
      <c r="B327" s="4" t="s">
        <v>7</v>
      </c>
      <c r="C327" s="4" t="s">
        <v>17</v>
      </c>
      <c r="D327" s="4" t="s">
        <v>12</v>
      </c>
      <c r="E327" s="4" t="s">
        <v>16</v>
      </c>
      <c r="F327" s="6">
        <v>122</v>
      </c>
      <c r="G327" s="6">
        <v>1045</v>
      </c>
    </row>
    <row r="328" spans="1:7">
      <c r="A328" s="4">
        <v>49</v>
      </c>
      <c r="B328" s="4" t="s">
        <v>7</v>
      </c>
      <c r="C328" s="4" t="s">
        <v>15</v>
      </c>
      <c r="D328" s="4" t="s">
        <v>12</v>
      </c>
      <c r="E328" s="4" t="s">
        <v>16</v>
      </c>
      <c r="F328" s="4">
        <v>125</v>
      </c>
      <c r="G328" s="5">
        <v>1004</v>
      </c>
    </row>
    <row r="329" spans="1:7">
      <c r="A329" s="4">
        <v>50</v>
      </c>
      <c r="B329" s="4" t="s">
        <v>11</v>
      </c>
      <c r="C329" s="6" t="s">
        <v>8</v>
      </c>
      <c r="D329" s="4" t="s">
        <v>12</v>
      </c>
      <c r="E329" s="4" t="s">
        <v>10</v>
      </c>
      <c r="F329" s="6">
        <v>127</v>
      </c>
      <c r="G329" s="6">
        <v>215</v>
      </c>
    </row>
    <row r="330" spans="1:7">
      <c r="A330" s="4">
        <v>51</v>
      </c>
      <c r="B330" s="4" t="s">
        <v>7</v>
      </c>
      <c r="C330" s="4" t="s">
        <v>15</v>
      </c>
      <c r="D330" s="4" t="s">
        <v>12</v>
      </c>
      <c r="E330" s="4" t="s">
        <v>16</v>
      </c>
      <c r="F330" s="4">
        <v>127</v>
      </c>
      <c r="G330" s="5">
        <v>1020.064</v>
      </c>
    </row>
    <row r="331" spans="1:7">
      <c r="A331" s="4">
        <v>52</v>
      </c>
      <c r="B331" s="4" t="s">
        <v>7</v>
      </c>
      <c r="C331" s="4" t="s">
        <v>15</v>
      </c>
      <c r="D331" s="4" t="s">
        <v>12</v>
      </c>
      <c r="E331" s="4" t="s">
        <v>16</v>
      </c>
      <c r="F331" s="6">
        <v>135</v>
      </c>
      <c r="G331" s="6">
        <v>1053</v>
      </c>
    </row>
    <row r="332" spans="1:7">
      <c r="A332" s="4">
        <v>54</v>
      </c>
      <c r="B332" s="4" t="s">
        <v>7</v>
      </c>
      <c r="C332" s="4" t="s">
        <v>15</v>
      </c>
      <c r="D332" s="4" t="s">
        <v>12</v>
      </c>
      <c r="E332" s="4" t="s">
        <v>16</v>
      </c>
      <c r="F332" s="4">
        <v>136</v>
      </c>
      <c r="G332" s="5">
        <v>1024.08</v>
      </c>
    </row>
    <row r="333" spans="1:7">
      <c r="A333" s="4">
        <v>55</v>
      </c>
      <c r="B333" s="4" t="s">
        <v>7</v>
      </c>
      <c r="C333" s="4" t="s">
        <v>15</v>
      </c>
      <c r="D333" s="4" t="s">
        <v>12</v>
      </c>
      <c r="E333" s="4" t="s">
        <v>16</v>
      </c>
      <c r="F333" s="4">
        <v>143</v>
      </c>
      <c r="G333" s="5">
        <v>861.4319999999999</v>
      </c>
    </row>
    <row r="334" spans="1:7">
      <c r="A334" s="4">
        <v>59</v>
      </c>
      <c r="B334" s="4" t="s">
        <v>7</v>
      </c>
      <c r="C334" s="4" t="s">
        <v>15</v>
      </c>
      <c r="D334" s="4" t="s">
        <v>12</v>
      </c>
      <c r="E334" s="4" t="s">
        <v>16</v>
      </c>
      <c r="F334" s="4">
        <v>153</v>
      </c>
      <c r="G334" s="5">
        <v>1228.896</v>
      </c>
    </row>
    <row r="335" spans="1:7">
      <c r="A335" s="4">
        <v>60</v>
      </c>
      <c r="B335" s="4" t="s">
        <v>7</v>
      </c>
      <c r="C335" s="4" t="s">
        <v>15</v>
      </c>
      <c r="D335" s="4" t="s">
        <v>12</v>
      </c>
      <c r="E335" s="4" t="s">
        <v>16</v>
      </c>
      <c r="F335" s="6">
        <v>156</v>
      </c>
      <c r="G335" s="6">
        <v>1025</v>
      </c>
    </row>
    <row r="336" spans="1:7">
      <c r="A336" s="4">
        <v>63</v>
      </c>
      <c r="B336" s="4" t="s">
        <v>7</v>
      </c>
      <c r="C336" s="4" t="s">
        <v>15</v>
      </c>
      <c r="D336" s="4" t="s">
        <v>12</v>
      </c>
      <c r="E336" s="4" t="s">
        <v>16</v>
      </c>
      <c r="F336" s="4">
        <v>162</v>
      </c>
      <c r="G336" s="5">
        <v>1305</v>
      </c>
    </row>
    <row r="337" spans="1:8">
      <c r="A337" s="4">
        <v>71</v>
      </c>
      <c r="B337" s="4" t="s">
        <v>7</v>
      </c>
      <c r="C337" s="4" t="s">
        <v>15</v>
      </c>
      <c r="D337" s="6" t="s">
        <v>14</v>
      </c>
      <c r="E337" s="4" t="s">
        <v>16</v>
      </c>
      <c r="F337" s="6">
        <v>183</v>
      </c>
      <c r="G337" s="6">
        <v>460</v>
      </c>
    </row>
    <row r="338" spans="1:8">
      <c r="A338" s="4">
        <v>72</v>
      </c>
      <c r="B338" s="4" t="s">
        <v>7</v>
      </c>
      <c r="C338" s="4" t="s">
        <v>17</v>
      </c>
      <c r="D338" s="4" t="s">
        <v>12</v>
      </c>
      <c r="E338" s="4" t="s">
        <v>16</v>
      </c>
      <c r="F338" s="6">
        <v>189</v>
      </c>
      <c r="G338" s="6">
        <v>315</v>
      </c>
      <c r="H338" s="21" t="s">
        <v>31</v>
      </c>
    </row>
    <row r="339" spans="1:8">
      <c r="A339" s="4">
        <v>73</v>
      </c>
      <c r="B339" s="4" t="s">
        <v>7</v>
      </c>
      <c r="C339" s="4" t="s">
        <v>15</v>
      </c>
      <c r="D339" s="4" t="s">
        <v>12</v>
      </c>
      <c r="E339" s="4" t="s">
        <v>16</v>
      </c>
      <c r="F339" s="4">
        <v>193</v>
      </c>
      <c r="G339" s="5">
        <v>734</v>
      </c>
    </row>
    <row r="340" spans="1:8">
      <c r="A340" s="4">
        <v>74</v>
      </c>
      <c r="B340" s="4" t="s">
        <v>7</v>
      </c>
      <c r="C340" s="4" t="s">
        <v>17</v>
      </c>
      <c r="D340" s="4" t="s">
        <v>12</v>
      </c>
      <c r="E340" s="4" t="s">
        <v>16</v>
      </c>
      <c r="F340" s="6">
        <v>195</v>
      </c>
      <c r="G340" s="6">
        <v>322</v>
      </c>
      <c r="H340" s="21" t="s">
        <v>31</v>
      </c>
    </row>
    <row r="343" spans="1:8" ht="32">
      <c r="A343" s="1" t="s">
        <v>0</v>
      </c>
      <c r="B343" s="8" t="s">
        <v>1</v>
      </c>
      <c r="C343" s="7" t="s">
        <v>2</v>
      </c>
      <c r="D343" s="7" t="s">
        <v>3</v>
      </c>
      <c r="E343" s="9" t="s">
        <v>4</v>
      </c>
      <c r="F343" s="2" t="s">
        <v>5</v>
      </c>
      <c r="G343" s="2" t="s">
        <v>6</v>
      </c>
    </row>
    <row r="344" spans="1:8">
      <c r="A344" s="4">
        <v>2</v>
      </c>
      <c r="B344" s="4" t="s">
        <v>11</v>
      </c>
      <c r="C344" s="6" t="s">
        <v>8</v>
      </c>
      <c r="D344" s="4" t="s">
        <v>12</v>
      </c>
      <c r="E344" s="4" t="s">
        <v>10</v>
      </c>
      <c r="F344" s="6">
        <v>28</v>
      </c>
      <c r="G344" s="6">
        <v>42</v>
      </c>
    </row>
    <row r="345" spans="1:8">
      <c r="A345" s="4">
        <v>3</v>
      </c>
      <c r="B345" s="4" t="s">
        <v>13</v>
      </c>
      <c r="C345" s="6" t="s">
        <v>8</v>
      </c>
      <c r="D345" s="6" t="s">
        <v>14</v>
      </c>
      <c r="E345" s="4" t="s">
        <v>10</v>
      </c>
      <c r="F345" s="6">
        <v>43</v>
      </c>
      <c r="G345" s="6">
        <v>150</v>
      </c>
    </row>
    <row r="346" spans="1:8">
      <c r="A346" s="4">
        <v>4</v>
      </c>
      <c r="B346" s="4" t="s">
        <v>11</v>
      </c>
      <c r="C346" s="6" t="s">
        <v>8</v>
      </c>
      <c r="D346" s="4" t="s">
        <v>12</v>
      </c>
      <c r="E346" s="4" t="s">
        <v>10</v>
      </c>
      <c r="F346" s="6">
        <v>45</v>
      </c>
      <c r="G346" s="6">
        <v>68</v>
      </c>
    </row>
    <row r="347" spans="1:8">
      <c r="A347" s="4">
        <v>7</v>
      </c>
      <c r="B347" s="4" t="s">
        <v>7</v>
      </c>
      <c r="C347" s="4" t="s">
        <v>15</v>
      </c>
      <c r="D347" s="4" t="s">
        <v>12</v>
      </c>
      <c r="E347" s="4" t="s">
        <v>16</v>
      </c>
      <c r="F347" s="4">
        <v>52</v>
      </c>
      <c r="G347" s="5">
        <v>274.09199999999998</v>
      </c>
    </row>
    <row r="348" spans="1:8">
      <c r="A348" s="4">
        <v>8</v>
      </c>
      <c r="B348" s="4" t="s">
        <v>7</v>
      </c>
      <c r="C348" s="4" t="s">
        <v>15</v>
      </c>
      <c r="D348" s="4" t="s">
        <v>12</v>
      </c>
      <c r="E348" s="4" t="s">
        <v>16</v>
      </c>
      <c r="F348" s="4">
        <v>61</v>
      </c>
      <c r="G348" s="5">
        <v>336.84199999999998</v>
      </c>
    </row>
    <row r="349" spans="1:8">
      <c r="A349" s="4">
        <v>9</v>
      </c>
      <c r="B349" s="4" t="s">
        <v>11</v>
      </c>
      <c r="C349" s="6" t="s">
        <v>8</v>
      </c>
      <c r="D349" s="4" t="s">
        <v>12</v>
      </c>
      <c r="E349" s="4" t="s">
        <v>10</v>
      </c>
      <c r="F349" s="6">
        <v>65</v>
      </c>
      <c r="G349" s="6">
        <v>139</v>
      </c>
    </row>
    <row r="350" spans="1:8">
      <c r="A350" s="4">
        <v>10</v>
      </c>
      <c r="B350" s="4" t="s">
        <v>7</v>
      </c>
      <c r="C350" s="4" t="s">
        <v>15</v>
      </c>
      <c r="D350" s="4" t="s">
        <v>12</v>
      </c>
      <c r="E350" s="4" t="s">
        <v>16</v>
      </c>
      <c r="F350" s="4">
        <v>68</v>
      </c>
      <c r="G350" s="5">
        <v>512.04</v>
      </c>
    </row>
    <row r="351" spans="1:8">
      <c r="A351" s="4">
        <v>12</v>
      </c>
      <c r="B351" s="4" t="s">
        <v>7</v>
      </c>
      <c r="C351" s="4" t="s">
        <v>15</v>
      </c>
      <c r="D351" s="4" t="s">
        <v>12</v>
      </c>
      <c r="E351" s="4" t="s">
        <v>16</v>
      </c>
      <c r="F351" s="4">
        <v>70</v>
      </c>
      <c r="G351" s="5">
        <v>379.512</v>
      </c>
    </row>
    <row r="352" spans="1:8">
      <c r="A352" s="4">
        <v>13</v>
      </c>
      <c r="B352" s="4" t="s">
        <v>7</v>
      </c>
      <c r="C352" s="4" t="s">
        <v>15</v>
      </c>
      <c r="D352" s="4" t="s">
        <v>12</v>
      </c>
      <c r="E352" s="4" t="s">
        <v>16</v>
      </c>
      <c r="F352" s="4">
        <v>72</v>
      </c>
      <c r="G352" s="5">
        <v>397.58399999999995</v>
      </c>
    </row>
    <row r="353" spans="1:7">
      <c r="A353" s="4">
        <v>14</v>
      </c>
      <c r="B353" s="4" t="s">
        <v>7</v>
      </c>
      <c r="C353" s="4" t="s">
        <v>15</v>
      </c>
      <c r="D353" s="4" t="s">
        <v>12</v>
      </c>
      <c r="E353" s="4" t="s">
        <v>16</v>
      </c>
      <c r="F353" s="4">
        <v>73</v>
      </c>
      <c r="G353" s="5">
        <v>659.62799999999993</v>
      </c>
    </row>
    <row r="354" spans="1:7">
      <c r="A354" s="4">
        <v>15</v>
      </c>
      <c r="B354" s="4" t="s">
        <v>7</v>
      </c>
      <c r="C354" s="4" t="s">
        <v>15</v>
      </c>
      <c r="D354" s="4" t="s">
        <v>12</v>
      </c>
      <c r="E354" s="4" t="s">
        <v>16</v>
      </c>
      <c r="F354" s="4">
        <v>74</v>
      </c>
      <c r="G354" s="5">
        <v>482.92399999999998</v>
      </c>
    </row>
    <row r="355" spans="1:7">
      <c r="A355" s="4">
        <v>16</v>
      </c>
      <c r="B355" s="4" t="s">
        <v>11</v>
      </c>
      <c r="C355" s="6" t="s">
        <v>8</v>
      </c>
      <c r="D355" s="4" t="s">
        <v>12</v>
      </c>
      <c r="E355" s="4" t="s">
        <v>10</v>
      </c>
      <c r="F355" s="6">
        <v>75</v>
      </c>
      <c r="G355" s="6">
        <v>110</v>
      </c>
    </row>
    <row r="356" spans="1:7">
      <c r="A356" s="4">
        <v>17</v>
      </c>
      <c r="B356" s="4" t="s">
        <v>7</v>
      </c>
      <c r="C356" s="4" t="s">
        <v>17</v>
      </c>
      <c r="D356" s="6" t="s">
        <v>14</v>
      </c>
      <c r="E356" s="4" t="s">
        <v>16</v>
      </c>
      <c r="F356" s="6">
        <v>76</v>
      </c>
      <c r="G356" s="6">
        <v>1100</v>
      </c>
    </row>
    <row r="357" spans="1:7">
      <c r="A357" s="4">
        <v>19</v>
      </c>
      <c r="B357" s="4" t="s">
        <v>7</v>
      </c>
      <c r="C357" s="4" t="s">
        <v>15</v>
      </c>
      <c r="D357" s="4" t="s">
        <v>12</v>
      </c>
      <c r="E357" s="4" t="s">
        <v>16</v>
      </c>
      <c r="F357" s="4">
        <v>79</v>
      </c>
      <c r="G357" s="5">
        <v>475.89599999999996</v>
      </c>
    </row>
    <row r="358" spans="1:7">
      <c r="A358" s="4">
        <v>23</v>
      </c>
      <c r="B358" s="4" t="s">
        <v>7</v>
      </c>
      <c r="C358" s="4" t="s">
        <v>15</v>
      </c>
      <c r="D358" s="4" t="s">
        <v>12</v>
      </c>
      <c r="E358" s="4" t="s">
        <v>16</v>
      </c>
      <c r="F358" s="4">
        <v>81</v>
      </c>
      <c r="G358" s="5">
        <v>691.25399999999991</v>
      </c>
    </row>
    <row r="359" spans="1:7">
      <c r="A359" s="4">
        <v>24</v>
      </c>
      <c r="B359" s="4" t="s">
        <v>7</v>
      </c>
      <c r="C359" s="4" t="s">
        <v>15</v>
      </c>
      <c r="D359" s="4" t="s">
        <v>12</v>
      </c>
      <c r="E359" s="4" t="s">
        <v>16</v>
      </c>
      <c r="F359" s="4">
        <v>83</v>
      </c>
      <c r="G359" s="5">
        <v>466.6592</v>
      </c>
    </row>
    <row r="360" spans="1:7">
      <c r="A360" s="4">
        <v>26</v>
      </c>
      <c r="B360" s="4" t="s">
        <v>7</v>
      </c>
      <c r="C360" s="4" t="s">
        <v>15</v>
      </c>
      <c r="D360" s="4" t="s">
        <v>12</v>
      </c>
      <c r="E360" s="4" t="s">
        <v>16</v>
      </c>
      <c r="F360" s="4">
        <v>84</v>
      </c>
      <c r="G360" s="5">
        <v>421.67999999999995</v>
      </c>
    </row>
    <row r="361" spans="1:7">
      <c r="A361" s="4">
        <v>27</v>
      </c>
      <c r="B361" s="4" t="s">
        <v>7</v>
      </c>
      <c r="C361" s="4" t="s">
        <v>15</v>
      </c>
      <c r="D361" s="4" t="s">
        <v>12</v>
      </c>
      <c r="E361" s="4" t="s">
        <v>16</v>
      </c>
      <c r="F361" s="4">
        <v>85</v>
      </c>
      <c r="G361" s="5">
        <v>725.39</v>
      </c>
    </row>
    <row r="362" spans="1:7">
      <c r="A362" s="4">
        <v>30</v>
      </c>
      <c r="B362" s="4" t="s">
        <v>7</v>
      </c>
      <c r="C362" s="4" t="s">
        <v>15</v>
      </c>
      <c r="D362" s="4" t="s">
        <v>12</v>
      </c>
      <c r="E362" s="4" t="s">
        <v>16</v>
      </c>
      <c r="F362" s="4">
        <v>90</v>
      </c>
      <c r="G362" s="5">
        <v>406.61999999999995</v>
      </c>
    </row>
    <row r="363" spans="1:7">
      <c r="A363" s="4">
        <v>31</v>
      </c>
      <c r="B363" s="4" t="s">
        <v>11</v>
      </c>
      <c r="C363" s="4" t="s">
        <v>17</v>
      </c>
      <c r="D363" s="4" t="s">
        <v>12</v>
      </c>
      <c r="E363" s="4" t="s">
        <v>10</v>
      </c>
      <c r="F363" s="6">
        <v>92</v>
      </c>
      <c r="G363" s="6">
        <v>195</v>
      </c>
    </row>
    <row r="364" spans="1:7">
      <c r="A364" s="4">
        <v>32</v>
      </c>
      <c r="B364" s="4" t="s">
        <v>7</v>
      </c>
      <c r="C364" s="4" t="s">
        <v>15</v>
      </c>
      <c r="D364" s="4" t="s">
        <v>12</v>
      </c>
      <c r="E364" s="4" t="s">
        <v>16</v>
      </c>
      <c r="F364" s="4">
        <v>92</v>
      </c>
      <c r="G364" s="5">
        <v>831.31200000000001</v>
      </c>
    </row>
    <row r="365" spans="1:7">
      <c r="A365" s="4">
        <v>33</v>
      </c>
      <c r="B365" s="4" t="s">
        <v>7</v>
      </c>
      <c r="C365" s="4" t="s">
        <v>15</v>
      </c>
      <c r="D365" s="4" t="s">
        <v>12</v>
      </c>
      <c r="E365" s="4" t="s">
        <v>16</v>
      </c>
      <c r="F365" s="4">
        <v>100</v>
      </c>
      <c r="G365" s="5">
        <v>702.79999999999984</v>
      </c>
    </row>
    <row r="366" spans="1:7">
      <c r="A366" s="4">
        <v>35</v>
      </c>
      <c r="B366" s="4" t="s">
        <v>7</v>
      </c>
      <c r="C366" s="4" t="s">
        <v>15</v>
      </c>
      <c r="D366" s="4" t="s">
        <v>12</v>
      </c>
      <c r="E366" s="4" t="s">
        <v>16</v>
      </c>
      <c r="F366" s="4">
        <v>102</v>
      </c>
      <c r="G366" s="5">
        <v>921.67199999999991</v>
      </c>
    </row>
    <row r="367" spans="1:7">
      <c r="A367" s="4">
        <v>37</v>
      </c>
      <c r="B367" s="4" t="s">
        <v>7</v>
      </c>
      <c r="C367" s="4" t="s">
        <v>15</v>
      </c>
      <c r="D367" s="4" t="s">
        <v>12</v>
      </c>
      <c r="E367" s="4" t="s">
        <v>16</v>
      </c>
      <c r="F367" s="4">
        <v>108</v>
      </c>
      <c r="G367" s="5">
        <v>650.59199999999998</v>
      </c>
    </row>
    <row r="368" spans="1:7">
      <c r="A368" s="4">
        <v>39</v>
      </c>
      <c r="B368" s="4" t="s">
        <v>7</v>
      </c>
      <c r="C368" s="4" t="s">
        <v>17</v>
      </c>
      <c r="D368" s="4" t="s">
        <v>12</v>
      </c>
      <c r="E368" s="4" t="s">
        <v>16</v>
      </c>
      <c r="F368" s="6">
        <v>110</v>
      </c>
      <c r="G368" s="6">
        <v>884</v>
      </c>
    </row>
    <row r="369" spans="1:7">
      <c r="A369" s="4">
        <v>40</v>
      </c>
      <c r="B369" s="4" t="s">
        <v>7</v>
      </c>
      <c r="C369" s="4" t="s">
        <v>15</v>
      </c>
      <c r="D369" s="4" t="s">
        <v>12</v>
      </c>
      <c r="E369" s="4" t="s">
        <v>16</v>
      </c>
      <c r="F369" s="4">
        <v>114</v>
      </c>
      <c r="G369" s="5">
        <v>502</v>
      </c>
    </row>
    <row r="370" spans="1:7">
      <c r="A370" s="4">
        <v>43</v>
      </c>
      <c r="B370" s="4" t="s">
        <v>7</v>
      </c>
      <c r="C370" s="4" t="s">
        <v>15</v>
      </c>
      <c r="D370" s="4" t="s">
        <v>12</v>
      </c>
      <c r="E370" s="4" t="s">
        <v>16</v>
      </c>
      <c r="F370" s="4">
        <v>115</v>
      </c>
      <c r="G370" s="5">
        <v>692.75999999999988</v>
      </c>
    </row>
    <row r="371" spans="1:7">
      <c r="A371" s="4">
        <v>45</v>
      </c>
      <c r="B371" s="4" t="s">
        <v>7</v>
      </c>
      <c r="C371" s="4" t="s">
        <v>15</v>
      </c>
      <c r="D371" s="4" t="s">
        <v>12</v>
      </c>
      <c r="E371" s="4" t="s">
        <v>16</v>
      </c>
      <c r="F371" s="4">
        <v>117</v>
      </c>
      <c r="G371" s="5">
        <v>728.30159999999989</v>
      </c>
    </row>
    <row r="372" spans="1:7">
      <c r="A372" s="4">
        <v>46</v>
      </c>
      <c r="B372" s="4" t="s">
        <v>7</v>
      </c>
      <c r="C372" s="4" t="s">
        <v>15</v>
      </c>
      <c r="D372" s="4" t="s">
        <v>12</v>
      </c>
      <c r="E372" s="4" t="s">
        <v>16</v>
      </c>
      <c r="F372" s="4">
        <v>117</v>
      </c>
      <c r="G372" s="5">
        <v>998.47799999999984</v>
      </c>
    </row>
    <row r="373" spans="1:7">
      <c r="A373" s="4">
        <v>48</v>
      </c>
      <c r="B373" s="4" t="s">
        <v>7</v>
      </c>
      <c r="C373" s="4" t="s">
        <v>17</v>
      </c>
      <c r="D373" s="4" t="s">
        <v>12</v>
      </c>
      <c r="E373" s="4" t="s">
        <v>16</v>
      </c>
      <c r="F373" s="6">
        <v>122</v>
      </c>
      <c r="G373" s="6">
        <v>1045</v>
      </c>
    </row>
    <row r="374" spans="1:7">
      <c r="A374" s="4">
        <v>49</v>
      </c>
      <c r="B374" s="4" t="s">
        <v>7</v>
      </c>
      <c r="C374" s="4" t="s">
        <v>15</v>
      </c>
      <c r="D374" s="4" t="s">
        <v>12</v>
      </c>
      <c r="E374" s="4" t="s">
        <v>16</v>
      </c>
      <c r="F374" s="4">
        <v>125</v>
      </c>
      <c r="G374" s="5">
        <v>1004</v>
      </c>
    </row>
    <row r="375" spans="1:7">
      <c r="A375" s="4">
        <v>50</v>
      </c>
      <c r="B375" s="4" t="s">
        <v>11</v>
      </c>
      <c r="C375" s="6" t="s">
        <v>8</v>
      </c>
      <c r="D375" s="4" t="s">
        <v>12</v>
      </c>
      <c r="E375" s="4" t="s">
        <v>10</v>
      </c>
      <c r="F375" s="6">
        <v>127</v>
      </c>
      <c r="G375" s="6">
        <v>215</v>
      </c>
    </row>
    <row r="376" spans="1:7">
      <c r="A376" s="4">
        <v>51</v>
      </c>
      <c r="B376" s="4" t="s">
        <v>7</v>
      </c>
      <c r="C376" s="4" t="s">
        <v>15</v>
      </c>
      <c r="D376" s="4" t="s">
        <v>12</v>
      </c>
      <c r="E376" s="4" t="s">
        <v>16</v>
      </c>
      <c r="F376" s="4">
        <v>127</v>
      </c>
      <c r="G376" s="5">
        <v>1020.064</v>
      </c>
    </row>
    <row r="377" spans="1:7">
      <c r="A377" s="4">
        <v>52</v>
      </c>
      <c r="B377" s="4" t="s">
        <v>7</v>
      </c>
      <c r="C377" s="4" t="s">
        <v>15</v>
      </c>
      <c r="D377" s="4" t="s">
        <v>12</v>
      </c>
      <c r="E377" s="4" t="s">
        <v>16</v>
      </c>
      <c r="F377" s="6">
        <v>135</v>
      </c>
      <c r="G377" s="6">
        <v>1053</v>
      </c>
    </row>
    <row r="378" spans="1:7">
      <c r="A378" s="4">
        <v>54</v>
      </c>
      <c r="B378" s="4" t="s">
        <v>7</v>
      </c>
      <c r="C378" s="4" t="s">
        <v>15</v>
      </c>
      <c r="D378" s="4" t="s">
        <v>12</v>
      </c>
      <c r="E378" s="4" t="s">
        <v>16</v>
      </c>
      <c r="F378" s="4">
        <v>136</v>
      </c>
      <c r="G378" s="5">
        <v>1024.08</v>
      </c>
    </row>
    <row r="379" spans="1:7">
      <c r="A379" s="4">
        <v>55</v>
      </c>
      <c r="B379" s="4" t="s">
        <v>7</v>
      </c>
      <c r="C379" s="4" t="s">
        <v>15</v>
      </c>
      <c r="D379" s="4" t="s">
        <v>12</v>
      </c>
      <c r="E379" s="4" t="s">
        <v>16</v>
      </c>
      <c r="F379" s="4">
        <v>143</v>
      </c>
      <c r="G379" s="5">
        <v>861.4319999999999</v>
      </c>
    </row>
    <row r="380" spans="1:7">
      <c r="A380" s="4">
        <v>59</v>
      </c>
      <c r="B380" s="4" t="s">
        <v>7</v>
      </c>
      <c r="C380" s="4" t="s">
        <v>15</v>
      </c>
      <c r="D380" s="4" t="s">
        <v>12</v>
      </c>
      <c r="E380" s="4" t="s">
        <v>16</v>
      </c>
      <c r="F380" s="4">
        <v>153</v>
      </c>
      <c r="G380" s="5">
        <v>1228.896</v>
      </c>
    </row>
    <row r="381" spans="1:7">
      <c r="A381" s="4">
        <v>60</v>
      </c>
      <c r="B381" s="4" t="s">
        <v>7</v>
      </c>
      <c r="C381" s="4" t="s">
        <v>15</v>
      </c>
      <c r="D381" s="4" t="s">
        <v>12</v>
      </c>
      <c r="E381" s="4" t="s">
        <v>16</v>
      </c>
      <c r="F381" s="6">
        <v>156</v>
      </c>
      <c r="G381" s="6">
        <v>1025</v>
      </c>
    </row>
    <row r="382" spans="1:7">
      <c r="A382" s="4">
        <v>63</v>
      </c>
      <c r="B382" s="4" t="s">
        <v>7</v>
      </c>
      <c r="C382" s="4" t="s">
        <v>15</v>
      </c>
      <c r="D382" s="4" t="s">
        <v>12</v>
      </c>
      <c r="E382" s="4" t="s">
        <v>16</v>
      </c>
      <c r="F382" s="4">
        <v>162</v>
      </c>
      <c r="G382" s="5">
        <v>1305</v>
      </c>
    </row>
    <row r="383" spans="1:7">
      <c r="A383" s="4">
        <v>71</v>
      </c>
      <c r="B383" s="4" t="s">
        <v>7</v>
      </c>
      <c r="C383" s="4" t="s">
        <v>15</v>
      </c>
      <c r="D383" s="6" t="s">
        <v>14</v>
      </c>
      <c r="E383" s="4" t="s">
        <v>16</v>
      </c>
      <c r="F383" s="6">
        <v>183</v>
      </c>
      <c r="G383" s="6">
        <v>460</v>
      </c>
    </row>
    <row r="384" spans="1:7">
      <c r="A384" s="4">
        <v>73</v>
      </c>
      <c r="B384" s="4" t="s">
        <v>7</v>
      </c>
      <c r="C384" s="4" t="s">
        <v>15</v>
      </c>
      <c r="D384" s="4" t="s">
        <v>12</v>
      </c>
      <c r="E384" s="4" t="s">
        <v>16</v>
      </c>
      <c r="F384" s="4">
        <v>193</v>
      </c>
      <c r="G384" s="5">
        <v>734</v>
      </c>
    </row>
    <row r="386" spans="1:7">
      <c r="A386" t="s">
        <v>28</v>
      </c>
    </row>
    <row r="387" spans="1:7" ht="20">
      <c r="A387" s="13" t="s">
        <v>29</v>
      </c>
    </row>
    <row r="388" spans="1:7" ht="17">
      <c r="A388" s="14" t="s">
        <v>30</v>
      </c>
      <c r="B388" s="14" t="s">
        <v>6</v>
      </c>
      <c r="C388" s="14"/>
      <c r="D388" s="14"/>
      <c r="E388" s="14"/>
      <c r="F388" s="14"/>
      <c r="G388" s="14"/>
    </row>
    <row r="389" spans="1:7" ht="17">
      <c r="A389" s="14">
        <v>13</v>
      </c>
      <c r="B389" s="14">
        <v>1100</v>
      </c>
      <c r="C389" s="14"/>
      <c r="D389" s="14"/>
      <c r="E389" s="14"/>
      <c r="F389" s="14"/>
      <c r="G389" s="14"/>
    </row>
    <row r="390" spans="1:7" ht="17">
      <c r="A390" s="14">
        <v>32</v>
      </c>
      <c r="B390" s="14">
        <v>215</v>
      </c>
      <c r="C390" s="14"/>
      <c r="D390" s="14"/>
      <c r="E390" s="14"/>
      <c r="F390" s="14"/>
      <c r="G390" s="14"/>
    </row>
    <row r="391" spans="1:7" ht="17">
      <c r="A391" s="14">
        <v>40</v>
      </c>
      <c r="B391" s="14">
        <v>460</v>
      </c>
      <c r="C391" s="14"/>
      <c r="D391" s="14"/>
      <c r="E391" s="14"/>
      <c r="F391" s="14"/>
      <c r="G391" s="14"/>
    </row>
    <row r="392" spans="1:7" ht="17">
      <c r="A392" s="14">
        <v>41</v>
      </c>
      <c r="B392" s="14">
        <v>734</v>
      </c>
      <c r="C392" s="14"/>
      <c r="D392" s="14"/>
      <c r="E392" s="14"/>
      <c r="F392" s="14"/>
      <c r="G392" s="14"/>
    </row>
    <row r="394" spans="1:7" ht="32">
      <c r="A394" s="1" t="s">
        <v>0</v>
      </c>
      <c r="B394" s="8" t="s">
        <v>1</v>
      </c>
      <c r="C394" s="7" t="s">
        <v>2</v>
      </c>
      <c r="D394" s="7" t="s">
        <v>3</v>
      </c>
      <c r="E394" s="9" t="s">
        <v>4</v>
      </c>
      <c r="F394" s="2" t="s">
        <v>5</v>
      </c>
      <c r="G394" s="2" t="s">
        <v>6</v>
      </c>
    </row>
    <row r="395" spans="1:7">
      <c r="A395" s="4">
        <v>2</v>
      </c>
      <c r="B395" s="4" t="s">
        <v>11</v>
      </c>
      <c r="C395" s="6" t="s">
        <v>8</v>
      </c>
      <c r="D395" s="4" t="s">
        <v>12</v>
      </c>
      <c r="E395" s="4" t="s">
        <v>10</v>
      </c>
      <c r="F395" s="6">
        <v>28</v>
      </c>
      <c r="G395" s="6">
        <v>42</v>
      </c>
    </row>
    <row r="396" spans="1:7">
      <c r="A396" s="4">
        <v>3</v>
      </c>
      <c r="B396" s="4" t="s">
        <v>13</v>
      </c>
      <c r="C396" s="6" t="s">
        <v>8</v>
      </c>
      <c r="D396" s="6" t="s">
        <v>14</v>
      </c>
      <c r="E396" s="4" t="s">
        <v>10</v>
      </c>
      <c r="F396" s="6">
        <v>43</v>
      </c>
      <c r="G396" s="6">
        <v>150</v>
      </c>
    </row>
    <row r="397" spans="1:7">
      <c r="A397" s="4">
        <v>4</v>
      </c>
      <c r="B397" s="4" t="s">
        <v>11</v>
      </c>
      <c r="C397" s="6" t="s">
        <v>8</v>
      </c>
      <c r="D397" s="4" t="s">
        <v>12</v>
      </c>
      <c r="E397" s="4" t="s">
        <v>10</v>
      </c>
      <c r="F397" s="6">
        <v>45</v>
      </c>
      <c r="G397" s="6">
        <v>68</v>
      </c>
    </row>
    <row r="398" spans="1:7">
      <c r="A398" s="4">
        <v>7</v>
      </c>
      <c r="B398" s="4" t="s">
        <v>7</v>
      </c>
      <c r="C398" s="4" t="s">
        <v>15</v>
      </c>
      <c r="D398" s="4" t="s">
        <v>12</v>
      </c>
      <c r="E398" s="4" t="s">
        <v>16</v>
      </c>
      <c r="F398" s="4">
        <v>52</v>
      </c>
      <c r="G398" s="5">
        <v>274.09199999999998</v>
      </c>
    </row>
    <row r="399" spans="1:7">
      <c r="A399" s="4">
        <v>8</v>
      </c>
      <c r="B399" s="4" t="s">
        <v>7</v>
      </c>
      <c r="C399" s="4" t="s">
        <v>15</v>
      </c>
      <c r="D399" s="4" t="s">
        <v>12</v>
      </c>
      <c r="E399" s="4" t="s">
        <v>16</v>
      </c>
      <c r="F399" s="4">
        <v>61</v>
      </c>
      <c r="G399" s="5">
        <v>336.84199999999998</v>
      </c>
    </row>
    <row r="400" spans="1:7">
      <c r="A400" s="4">
        <v>9</v>
      </c>
      <c r="B400" s="4" t="s">
        <v>11</v>
      </c>
      <c r="C400" s="6" t="s">
        <v>8</v>
      </c>
      <c r="D400" s="4" t="s">
        <v>12</v>
      </c>
      <c r="E400" s="4" t="s">
        <v>10</v>
      </c>
      <c r="F400" s="6">
        <v>65</v>
      </c>
      <c r="G400" s="6">
        <v>139</v>
      </c>
    </row>
    <row r="401" spans="1:8">
      <c r="A401" s="4">
        <v>10</v>
      </c>
      <c r="B401" s="4" t="s">
        <v>7</v>
      </c>
      <c r="C401" s="4" t="s">
        <v>15</v>
      </c>
      <c r="D401" s="4" t="s">
        <v>12</v>
      </c>
      <c r="E401" s="4" t="s">
        <v>16</v>
      </c>
      <c r="F401" s="4">
        <v>68</v>
      </c>
      <c r="G401" s="5">
        <v>512.04</v>
      </c>
    </row>
    <row r="402" spans="1:8">
      <c r="A402" s="4">
        <v>12</v>
      </c>
      <c r="B402" s="4" t="s">
        <v>7</v>
      </c>
      <c r="C402" s="4" t="s">
        <v>15</v>
      </c>
      <c r="D402" s="4" t="s">
        <v>12</v>
      </c>
      <c r="E402" s="4" t="s">
        <v>16</v>
      </c>
      <c r="F402" s="4">
        <v>70</v>
      </c>
      <c r="G402" s="5">
        <v>379.512</v>
      </c>
    </row>
    <row r="403" spans="1:8">
      <c r="A403" s="4">
        <v>13</v>
      </c>
      <c r="B403" s="4" t="s">
        <v>7</v>
      </c>
      <c r="C403" s="4" t="s">
        <v>15</v>
      </c>
      <c r="D403" s="4" t="s">
        <v>12</v>
      </c>
      <c r="E403" s="4" t="s">
        <v>16</v>
      </c>
      <c r="F403" s="4">
        <v>72</v>
      </c>
      <c r="G403" s="5">
        <v>397.58399999999995</v>
      </c>
    </row>
    <row r="404" spans="1:8">
      <c r="A404" s="4">
        <v>14</v>
      </c>
      <c r="B404" s="4" t="s">
        <v>7</v>
      </c>
      <c r="C404" s="4" t="s">
        <v>15</v>
      </c>
      <c r="D404" s="4" t="s">
        <v>12</v>
      </c>
      <c r="E404" s="4" t="s">
        <v>16</v>
      </c>
      <c r="F404" s="4">
        <v>73</v>
      </c>
      <c r="G404" s="5">
        <v>659.62799999999993</v>
      </c>
    </row>
    <row r="405" spans="1:8">
      <c r="A405" s="4">
        <v>15</v>
      </c>
      <c r="B405" s="4" t="s">
        <v>7</v>
      </c>
      <c r="C405" s="4" t="s">
        <v>15</v>
      </c>
      <c r="D405" s="4" t="s">
        <v>12</v>
      </c>
      <c r="E405" s="4" t="s">
        <v>16</v>
      </c>
      <c r="F405" s="4">
        <v>74</v>
      </c>
      <c r="G405" s="5">
        <v>482.92399999999998</v>
      </c>
    </row>
    <row r="406" spans="1:8">
      <c r="A406" s="4">
        <v>16</v>
      </c>
      <c r="B406" s="4" t="s">
        <v>11</v>
      </c>
      <c r="C406" s="6" t="s">
        <v>8</v>
      </c>
      <c r="D406" s="4" t="s">
        <v>12</v>
      </c>
      <c r="E406" s="4" t="s">
        <v>10</v>
      </c>
      <c r="F406" s="6">
        <v>75</v>
      </c>
      <c r="G406" s="6">
        <v>110</v>
      </c>
    </row>
    <row r="407" spans="1:8">
      <c r="A407" s="4">
        <v>17</v>
      </c>
      <c r="B407" s="4" t="s">
        <v>7</v>
      </c>
      <c r="C407" s="4" t="s">
        <v>17</v>
      </c>
      <c r="D407" s="6" t="s">
        <v>14</v>
      </c>
      <c r="E407" s="4" t="s">
        <v>16</v>
      </c>
      <c r="F407" s="6">
        <v>76</v>
      </c>
      <c r="G407" s="6">
        <v>1100</v>
      </c>
      <c r="H407" s="20" t="s">
        <v>31</v>
      </c>
    </row>
    <row r="408" spans="1:8">
      <c r="A408" s="4">
        <v>19</v>
      </c>
      <c r="B408" s="4" t="s">
        <v>7</v>
      </c>
      <c r="C408" s="4" t="s">
        <v>15</v>
      </c>
      <c r="D408" s="4" t="s">
        <v>12</v>
      </c>
      <c r="E408" s="4" t="s">
        <v>16</v>
      </c>
      <c r="F408" s="4">
        <v>79</v>
      </c>
      <c r="G408" s="5">
        <v>475.89599999999996</v>
      </c>
    </row>
    <row r="409" spans="1:8">
      <c r="A409" s="4">
        <v>23</v>
      </c>
      <c r="B409" s="4" t="s">
        <v>7</v>
      </c>
      <c r="C409" s="4" t="s">
        <v>15</v>
      </c>
      <c r="D409" s="4" t="s">
        <v>12</v>
      </c>
      <c r="E409" s="4" t="s">
        <v>16</v>
      </c>
      <c r="F409" s="4">
        <v>81</v>
      </c>
      <c r="G409" s="5">
        <v>691.25399999999991</v>
      </c>
    </row>
    <row r="410" spans="1:8">
      <c r="A410" s="4">
        <v>24</v>
      </c>
      <c r="B410" s="4" t="s">
        <v>7</v>
      </c>
      <c r="C410" s="4" t="s">
        <v>15</v>
      </c>
      <c r="D410" s="4" t="s">
        <v>12</v>
      </c>
      <c r="E410" s="4" t="s">
        <v>16</v>
      </c>
      <c r="F410" s="4">
        <v>83</v>
      </c>
      <c r="G410" s="5">
        <v>466.6592</v>
      </c>
    </row>
    <row r="411" spans="1:8">
      <c r="A411" s="4">
        <v>26</v>
      </c>
      <c r="B411" s="4" t="s">
        <v>7</v>
      </c>
      <c r="C411" s="4" t="s">
        <v>15</v>
      </c>
      <c r="D411" s="4" t="s">
        <v>12</v>
      </c>
      <c r="E411" s="4" t="s">
        <v>16</v>
      </c>
      <c r="F411" s="4">
        <v>84</v>
      </c>
      <c r="G411" s="5">
        <v>421.67999999999995</v>
      </c>
    </row>
    <row r="412" spans="1:8">
      <c r="A412" s="4">
        <v>27</v>
      </c>
      <c r="B412" s="4" t="s">
        <v>7</v>
      </c>
      <c r="C412" s="4" t="s">
        <v>15</v>
      </c>
      <c r="D412" s="4" t="s">
        <v>12</v>
      </c>
      <c r="E412" s="4" t="s">
        <v>16</v>
      </c>
      <c r="F412" s="4">
        <v>85</v>
      </c>
      <c r="G412" s="5">
        <v>725.39</v>
      </c>
    </row>
    <row r="413" spans="1:8">
      <c r="A413" s="4">
        <v>30</v>
      </c>
      <c r="B413" s="4" t="s">
        <v>7</v>
      </c>
      <c r="C413" s="4" t="s">
        <v>15</v>
      </c>
      <c r="D413" s="4" t="s">
        <v>12</v>
      </c>
      <c r="E413" s="4" t="s">
        <v>16</v>
      </c>
      <c r="F413" s="4">
        <v>90</v>
      </c>
      <c r="G413" s="5">
        <v>406.61999999999995</v>
      </c>
    </row>
    <row r="414" spans="1:8">
      <c r="A414" s="4">
        <v>31</v>
      </c>
      <c r="B414" s="4" t="s">
        <v>11</v>
      </c>
      <c r="C414" s="4" t="s">
        <v>17</v>
      </c>
      <c r="D414" s="4" t="s">
        <v>12</v>
      </c>
      <c r="E414" s="4" t="s">
        <v>10</v>
      </c>
      <c r="F414" s="6">
        <v>92</v>
      </c>
      <c r="G414" s="6">
        <v>195</v>
      </c>
    </row>
    <row r="415" spans="1:8">
      <c r="A415" s="4">
        <v>32</v>
      </c>
      <c r="B415" s="4" t="s">
        <v>7</v>
      </c>
      <c r="C415" s="4" t="s">
        <v>15</v>
      </c>
      <c r="D415" s="4" t="s">
        <v>12</v>
      </c>
      <c r="E415" s="4" t="s">
        <v>16</v>
      </c>
      <c r="F415" s="4">
        <v>92</v>
      </c>
      <c r="G415" s="5">
        <v>831.31200000000001</v>
      </c>
    </row>
    <row r="416" spans="1:8">
      <c r="A416" s="4">
        <v>33</v>
      </c>
      <c r="B416" s="4" t="s">
        <v>7</v>
      </c>
      <c r="C416" s="4" t="s">
        <v>15</v>
      </c>
      <c r="D416" s="4" t="s">
        <v>12</v>
      </c>
      <c r="E416" s="4" t="s">
        <v>16</v>
      </c>
      <c r="F416" s="4">
        <v>100</v>
      </c>
      <c r="G416" s="5">
        <v>702.79999999999984</v>
      </c>
    </row>
    <row r="417" spans="1:8">
      <c r="A417" s="4">
        <v>35</v>
      </c>
      <c r="B417" s="4" t="s">
        <v>7</v>
      </c>
      <c r="C417" s="4" t="s">
        <v>15</v>
      </c>
      <c r="D417" s="4" t="s">
        <v>12</v>
      </c>
      <c r="E417" s="4" t="s">
        <v>16</v>
      </c>
      <c r="F417" s="4">
        <v>102</v>
      </c>
      <c r="G417" s="5">
        <v>921.67199999999991</v>
      </c>
    </row>
    <row r="418" spans="1:8">
      <c r="A418" s="4">
        <v>37</v>
      </c>
      <c r="B418" s="4" t="s">
        <v>7</v>
      </c>
      <c r="C418" s="4" t="s">
        <v>15</v>
      </c>
      <c r="D418" s="4" t="s">
        <v>12</v>
      </c>
      <c r="E418" s="4" t="s">
        <v>16</v>
      </c>
      <c r="F418" s="4">
        <v>108</v>
      </c>
      <c r="G418" s="5">
        <v>650.59199999999998</v>
      </c>
    </row>
    <row r="419" spans="1:8">
      <c r="A419" s="4">
        <v>39</v>
      </c>
      <c r="B419" s="4" t="s">
        <v>7</v>
      </c>
      <c r="C419" s="4" t="s">
        <v>17</v>
      </c>
      <c r="D419" s="4" t="s">
        <v>12</v>
      </c>
      <c r="E419" s="4" t="s">
        <v>16</v>
      </c>
      <c r="F419" s="6">
        <v>110</v>
      </c>
      <c r="G419" s="6">
        <v>884</v>
      </c>
    </row>
    <row r="420" spans="1:8">
      <c r="A420" s="4">
        <v>40</v>
      </c>
      <c r="B420" s="4" t="s">
        <v>7</v>
      </c>
      <c r="C420" s="4" t="s">
        <v>15</v>
      </c>
      <c r="D420" s="4" t="s">
        <v>12</v>
      </c>
      <c r="E420" s="4" t="s">
        <v>16</v>
      </c>
      <c r="F420" s="4">
        <v>114</v>
      </c>
      <c r="G420" s="5">
        <v>502</v>
      </c>
    </row>
    <row r="421" spans="1:8">
      <c r="A421" s="4">
        <v>43</v>
      </c>
      <c r="B421" s="4" t="s">
        <v>7</v>
      </c>
      <c r="C421" s="4" t="s">
        <v>15</v>
      </c>
      <c r="D421" s="4" t="s">
        <v>12</v>
      </c>
      <c r="E421" s="4" t="s">
        <v>16</v>
      </c>
      <c r="F421" s="4">
        <v>115</v>
      </c>
      <c r="G421" s="5">
        <v>692.75999999999988</v>
      </c>
    </row>
    <row r="422" spans="1:8">
      <c r="A422" s="4">
        <v>45</v>
      </c>
      <c r="B422" s="4" t="s">
        <v>7</v>
      </c>
      <c r="C422" s="4" t="s">
        <v>15</v>
      </c>
      <c r="D422" s="4" t="s">
        <v>12</v>
      </c>
      <c r="E422" s="4" t="s">
        <v>16</v>
      </c>
      <c r="F422" s="4">
        <v>117</v>
      </c>
      <c r="G422" s="5">
        <v>728.30159999999989</v>
      </c>
    </row>
    <row r="423" spans="1:8">
      <c r="A423" s="4">
        <v>46</v>
      </c>
      <c r="B423" s="4" t="s">
        <v>7</v>
      </c>
      <c r="C423" s="4" t="s">
        <v>15</v>
      </c>
      <c r="D423" s="4" t="s">
        <v>12</v>
      </c>
      <c r="E423" s="4" t="s">
        <v>16</v>
      </c>
      <c r="F423" s="4">
        <v>117</v>
      </c>
      <c r="G423" s="5">
        <v>998.47799999999984</v>
      </c>
    </row>
    <row r="424" spans="1:8">
      <c r="A424" s="4">
        <v>48</v>
      </c>
      <c r="B424" s="4" t="s">
        <v>7</v>
      </c>
      <c r="C424" s="4" t="s">
        <v>17</v>
      </c>
      <c r="D424" s="4" t="s">
        <v>12</v>
      </c>
      <c r="E424" s="4" t="s">
        <v>16</v>
      </c>
      <c r="F424" s="6">
        <v>122</v>
      </c>
      <c r="G424" s="6">
        <v>1045</v>
      </c>
    </row>
    <row r="425" spans="1:8">
      <c r="A425" s="4">
        <v>49</v>
      </c>
      <c r="B425" s="4" t="s">
        <v>7</v>
      </c>
      <c r="C425" s="4" t="s">
        <v>15</v>
      </c>
      <c r="D425" s="4" t="s">
        <v>12</v>
      </c>
      <c r="E425" s="4" t="s">
        <v>16</v>
      </c>
      <c r="F425" s="4">
        <v>125</v>
      </c>
      <c r="G425" s="5">
        <v>1004</v>
      </c>
    </row>
    <row r="426" spans="1:8">
      <c r="A426" s="4">
        <v>50</v>
      </c>
      <c r="B426" s="4" t="s">
        <v>11</v>
      </c>
      <c r="C426" s="6" t="s">
        <v>8</v>
      </c>
      <c r="D426" s="4" t="s">
        <v>12</v>
      </c>
      <c r="E426" s="4" t="s">
        <v>10</v>
      </c>
      <c r="F426" s="6">
        <v>127</v>
      </c>
      <c r="G426" s="6">
        <v>215</v>
      </c>
      <c r="H426" s="20" t="s">
        <v>31</v>
      </c>
    </row>
    <row r="427" spans="1:8">
      <c r="A427" s="4">
        <v>51</v>
      </c>
      <c r="B427" s="4" t="s">
        <v>7</v>
      </c>
      <c r="C427" s="4" t="s">
        <v>15</v>
      </c>
      <c r="D427" s="4" t="s">
        <v>12</v>
      </c>
      <c r="E427" s="4" t="s">
        <v>16</v>
      </c>
      <c r="F427" s="4">
        <v>127</v>
      </c>
      <c r="G427" s="5">
        <v>1020.064</v>
      </c>
    </row>
    <row r="428" spans="1:8">
      <c r="A428" s="4">
        <v>52</v>
      </c>
      <c r="B428" s="4" t="s">
        <v>7</v>
      </c>
      <c r="C428" s="4" t="s">
        <v>15</v>
      </c>
      <c r="D428" s="4" t="s">
        <v>12</v>
      </c>
      <c r="E428" s="4" t="s">
        <v>16</v>
      </c>
      <c r="F428" s="6">
        <v>135</v>
      </c>
      <c r="G428" s="6">
        <v>1053</v>
      </c>
    </row>
    <row r="429" spans="1:8">
      <c r="A429" s="4">
        <v>54</v>
      </c>
      <c r="B429" s="4" t="s">
        <v>7</v>
      </c>
      <c r="C429" s="4" t="s">
        <v>15</v>
      </c>
      <c r="D429" s="4" t="s">
        <v>12</v>
      </c>
      <c r="E429" s="4" t="s">
        <v>16</v>
      </c>
      <c r="F429" s="4">
        <v>136</v>
      </c>
      <c r="G429" s="5">
        <v>1024.08</v>
      </c>
    </row>
    <row r="430" spans="1:8">
      <c r="A430" s="4">
        <v>55</v>
      </c>
      <c r="B430" s="4" t="s">
        <v>7</v>
      </c>
      <c r="C430" s="4" t="s">
        <v>15</v>
      </c>
      <c r="D430" s="4" t="s">
        <v>12</v>
      </c>
      <c r="E430" s="4" t="s">
        <v>16</v>
      </c>
      <c r="F430" s="4">
        <v>143</v>
      </c>
      <c r="G430" s="5">
        <v>861.4319999999999</v>
      </c>
    </row>
    <row r="431" spans="1:8">
      <c r="A431" s="4">
        <v>59</v>
      </c>
      <c r="B431" s="4" t="s">
        <v>7</v>
      </c>
      <c r="C431" s="4" t="s">
        <v>15</v>
      </c>
      <c r="D431" s="4" t="s">
        <v>12</v>
      </c>
      <c r="E431" s="4" t="s">
        <v>16</v>
      </c>
      <c r="F431" s="4">
        <v>153</v>
      </c>
      <c r="G431" s="5">
        <v>1228.896</v>
      </c>
    </row>
    <row r="432" spans="1:8">
      <c r="A432" s="4">
        <v>60</v>
      </c>
      <c r="B432" s="4" t="s">
        <v>7</v>
      </c>
      <c r="C432" s="4" t="s">
        <v>15</v>
      </c>
      <c r="D432" s="4" t="s">
        <v>12</v>
      </c>
      <c r="E432" s="4" t="s">
        <v>16</v>
      </c>
      <c r="F432" s="6">
        <v>156</v>
      </c>
      <c r="G432" s="6">
        <v>1025</v>
      </c>
    </row>
    <row r="433" spans="1:8">
      <c r="A433" s="4">
        <v>63</v>
      </c>
      <c r="B433" s="4" t="s">
        <v>7</v>
      </c>
      <c r="C433" s="4" t="s">
        <v>15</v>
      </c>
      <c r="D433" s="4" t="s">
        <v>12</v>
      </c>
      <c r="E433" s="4" t="s">
        <v>16</v>
      </c>
      <c r="F433" s="4">
        <v>162</v>
      </c>
      <c r="G433" s="5">
        <v>1305</v>
      </c>
    </row>
    <row r="434" spans="1:8">
      <c r="A434" s="4">
        <v>71</v>
      </c>
      <c r="B434" s="4" t="s">
        <v>7</v>
      </c>
      <c r="C434" s="4" t="s">
        <v>15</v>
      </c>
      <c r="D434" s="6" t="s">
        <v>14</v>
      </c>
      <c r="E434" s="4" t="s">
        <v>16</v>
      </c>
      <c r="F434" s="6">
        <v>183</v>
      </c>
      <c r="G434" s="6">
        <v>460</v>
      </c>
      <c r="H434" s="20" t="s">
        <v>31</v>
      </c>
    </row>
    <row r="435" spans="1:8">
      <c r="A435" s="4">
        <v>73</v>
      </c>
      <c r="B435" s="4" t="s">
        <v>7</v>
      </c>
      <c r="C435" s="4" t="s">
        <v>15</v>
      </c>
      <c r="D435" s="4" t="s">
        <v>12</v>
      </c>
      <c r="E435" s="4" t="s">
        <v>16</v>
      </c>
      <c r="F435" s="4">
        <v>193</v>
      </c>
      <c r="G435" s="5">
        <v>734</v>
      </c>
      <c r="H435" s="20" t="s">
        <v>31</v>
      </c>
    </row>
    <row r="438" spans="1:8" ht="32">
      <c r="A438" s="1" t="s">
        <v>0</v>
      </c>
      <c r="B438" s="8" t="s">
        <v>1</v>
      </c>
      <c r="C438" s="7" t="s">
        <v>2</v>
      </c>
      <c r="D438" s="7" t="s">
        <v>3</v>
      </c>
      <c r="E438" s="9" t="s">
        <v>4</v>
      </c>
      <c r="F438" s="2" t="s">
        <v>5</v>
      </c>
      <c r="G438" s="2" t="s">
        <v>6</v>
      </c>
    </row>
    <row r="439" spans="1:8">
      <c r="A439" s="4">
        <v>2</v>
      </c>
      <c r="B439" s="4" t="s">
        <v>11</v>
      </c>
      <c r="C439" s="6" t="s">
        <v>8</v>
      </c>
      <c r="D439" s="4" t="s">
        <v>12</v>
      </c>
      <c r="E439" s="4" t="s">
        <v>10</v>
      </c>
      <c r="F439" s="6">
        <v>28</v>
      </c>
      <c r="G439" s="6">
        <v>42</v>
      </c>
    </row>
    <row r="440" spans="1:8">
      <c r="A440" s="4">
        <v>3</v>
      </c>
      <c r="B440" s="4" t="s">
        <v>13</v>
      </c>
      <c r="C440" s="6" t="s">
        <v>8</v>
      </c>
      <c r="D440" s="6" t="s">
        <v>14</v>
      </c>
      <c r="E440" s="4" t="s">
        <v>10</v>
      </c>
      <c r="F440" s="6">
        <v>43</v>
      </c>
      <c r="G440" s="6">
        <v>150</v>
      </c>
    </row>
    <row r="441" spans="1:8">
      <c r="A441" s="4">
        <v>4</v>
      </c>
      <c r="B441" s="4" t="s">
        <v>11</v>
      </c>
      <c r="C441" s="6" t="s">
        <v>8</v>
      </c>
      <c r="D441" s="4" t="s">
        <v>12</v>
      </c>
      <c r="E441" s="4" t="s">
        <v>10</v>
      </c>
      <c r="F441" s="6">
        <v>45</v>
      </c>
      <c r="G441" s="6">
        <v>68</v>
      </c>
    </row>
    <row r="442" spans="1:8">
      <c r="A442" s="4">
        <v>7</v>
      </c>
      <c r="B442" s="4" t="s">
        <v>7</v>
      </c>
      <c r="C442" s="4" t="s">
        <v>15</v>
      </c>
      <c r="D442" s="4" t="s">
        <v>12</v>
      </c>
      <c r="E442" s="4" t="s">
        <v>16</v>
      </c>
      <c r="F442" s="4">
        <v>52</v>
      </c>
      <c r="G442" s="5">
        <v>274.09199999999998</v>
      </c>
    </row>
    <row r="443" spans="1:8">
      <c r="A443" s="4">
        <v>8</v>
      </c>
      <c r="B443" s="4" t="s">
        <v>7</v>
      </c>
      <c r="C443" s="4" t="s">
        <v>15</v>
      </c>
      <c r="D443" s="4" t="s">
        <v>12</v>
      </c>
      <c r="E443" s="4" t="s">
        <v>16</v>
      </c>
      <c r="F443" s="4">
        <v>61</v>
      </c>
      <c r="G443" s="5">
        <v>336.84199999999998</v>
      </c>
    </row>
    <row r="444" spans="1:8">
      <c r="A444" s="4">
        <v>9</v>
      </c>
      <c r="B444" s="4" t="s">
        <v>11</v>
      </c>
      <c r="C444" s="6" t="s">
        <v>8</v>
      </c>
      <c r="D444" s="4" t="s">
        <v>12</v>
      </c>
      <c r="E444" s="4" t="s">
        <v>10</v>
      </c>
      <c r="F444" s="6">
        <v>65</v>
      </c>
      <c r="G444" s="6">
        <v>139</v>
      </c>
    </row>
    <row r="445" spans="1:8">
      <c r="A445" s="4">
        <v>10</v>
      </c>
      <c r="B445" s="4" t="s">
        <v>7</v>
      </c>
      <c r="C445" s="4" t="s">
        <v>15</v>
      </c>
      <c r="D445" s="4" t="s">
        <v>12</v>
      </c>
      <c r="E445" s="4" t="s">
        <v>16</v>
      </c>
      <c r="F445" s="4">
        <v>68</v>
      </c>
      <c r="G445" s="5">
        <v>512.04</v>
      </c>
    </row>
    <row r="446" spans="1:8">
      <c r="A446" s="4">
        <v>12</v>
      </c>
      <c r="B446" s="4" t="s">
        <v>7</v>
      </c>
      <c r="C446" s="4" t="s">
        <v>15</v>
      </c>
      <c r="D446" s="4" t="s">
        <v>12</v>
      </c>
      <c r="E446" s="4" t="s">
        <v>16</v>
      </c>
      <c r="F446" s="4">
        <v>70</v>
      </c>
      <c r="G446" s="5">
        <v>379.512</v>
      </c>
    </row>
    <row r="447" spans="1:8">
      <c r="A447" s="4">
        <v>13</v>
      </c>
      <c r="B447" s="4" t="s">
        <v>7</v>
      </c>
      <c r="C447" s="4" t="s">
        <v>15</v>
      </c>
      <c r="D447" s="4" t="s">
        <v>12</v>
      </c>
      <c r="E447" s="4" t="s">
        <v>16</v>
      </c>
      <c r="F447" s="4">
        <v>72</v>
      </c>
      <c r="G447" s="5">
        <v>397.58399999999995</v>
      </c>
    </row>
    <row r="448" spans="1:8">
      <c r="A448" s="4">
        <v>14</v>
      </c>
      <c r="B448" s="4" t="s">
        <v>7</v>
      </c>
      <c r="C448" s="4" t="s">
        <v>15</v>
      </c>
      <c r="D448" s="4" t="s">
        <v>12</v>
      </c>
      <c r="E448" s="4" t="s">
        <v>16</v>
      </c>
      <c r="F448" s="4">
        <v>73</v>
      </c>
      <c r="G448" s="5">
        <v>659.62799999999993</v>
      </c>
    </row>
    <row r="449" spans="1:7">
      <c r="A449" s="4">
        <v>15</v>
      </c>
      <c r="B449" s="4" t="s">
        <v>7</v>
      </c>
      <c r="C449" s="4" t="s">
        <v>15</v>
      </c>
      <c r="D449" s="4" t="s">
        <v>12</v>
      </c>
      <c r="E449" s="4" t="s">
        <v>16</v>
      </c>
      <c r="F449" s="4">
        <v>74</v>
      </c>
      <c r="G449" s="5">
        <v>482.92399999999998</v>
      </c>
    </row>
    <row r="450" spans="1:7">
      <c r="A450" s="4">
        <v>16</v>
      </c>
      <c r="B450" s="4" t="s">
        <v>11</v>
      </c>
      <c r="C450" s="6" t="s">
        <v>8</v>
      </c>
      <c r="D450" s="4" t="s">
        <v>12</v>
      </c>
      <c r="E450" s="4" t="s">
        <v>10</v>
      </c>
      <c r="F450" s="6">
        <v>75</v>
      </c>
      <c r="G450" s="6">
        <v>110</v>
      </c>
    </row>
    <row r="451" spans="1:7">
      <c r="A451" s="4">
        <v>19</v>
      </c>
      <c r="B451" s="4" t="s">
        <v>7</v>
      </c>
      <c r="C451" s="4" t="s">
        <v>15</v>
      </c>
      <c r="D451" s="4" t="s">
        <v>12</v>
      </c>
      <c r="E451" s="4" t="s">
        <v>16</v>
      </c>
      <c r="F451" s="4">
        <v>79</v>
      </c>
      <c r="G451" s="5">
        <v>475.89599999999996</v>
      </c>
    </row>
    <row r="452" spans="1:7">
      <c r="A452" s="4">
        <v>23</v>
      </c>
      <c r="B452" s="4" t="s">
        <v>7</v>
      </c>
      <c r="C452" s="4" t="s">
        <v>15</v>
      </c>
      <c r="D452" s="4" t="s">
        <v>12</v>
      </c>
      <c r="E452" s="4" t="s">
        <v>16</v>
      </c>
      <c r="F452" s="4">
        <v>81</v>
      </c>
      <c r="G452" s="5">
        <v>691.25399999999991</v>
      </c>
    </row>
    <row r="453" spans="1:7">
      <c r="A453" s="4">
        <v>24</v>
      </c>
      <c r="B453" s="4" t="s">
        <v>7</v>
      </c>
      <c r="C453" s="4" t="s">
        <v>15</v>
      </c>
      <c r="D453" s="4" t="s">
        <v>12</v>
      </c>
      <c r="E453" s="4" t="s">
        <v>16</v>
      </c>
      <c r="F453" s="4">
        <v>83</v>
      </c>
      <c r="G453" s="5">
        <v>466.6592</v>
      </c>
    </row>
    <row r="454" spans="1:7">
      <c r="A454" s="4">
        <v>26</v>
      </c>
      <c r="B454" s="4" t="s">
        <v>7</v>
      </c>
      <c r="C454" s="4" t="s">
        <v>15</v>
      </c>
      <c r="D454" s="4" t="s">
        <v>12</v>
      </c>
      <c r="E454" s="4" t="s">
        <v>16</v>
      </c>
      <c r="F454" s="4">
        <v>84</v>
      </c>
      <c r="G454" s="5">
        <v>421.67999999999995</v>
      </c>
    </row>
    <row r="455" spans="1:7">
      <c r="A455" s="4">
        <v>27</v>
      </c>
      <c r="B455" s="4" t="s">
        <v>7</v>
      </c>
      <c r="C455" s="4" t="s">
        <v>15</v>
      </c>
      <c r="D455" s="4" t="s">
        <v>12</v>
      </c>
      <c r="E455" s="4" t="s">
        <v>16</v>
      </c>
      <c r="F455" s="4">
        <v>85</v>
      </c>
      <c r="G455" s="5">
        <v>725.39</v>
      </c>
    </row>
    <row r="456" spans="1:7">
      <c r="A456" s="4">
        <v>30</v>
      </c>
      <c r="B456" s="4" t="s">
        <v>7</v>
      </c>
      <c r="C456" s="4" t="s">
        <v>15</v>
      </c>
      <c r="D456" s="4" t="s">
        <v>12</v>
      </c>
      <c r="E456" s="4" t="s">
        <v>16</v>
      </c>
      <c r="F456" s="4">
        <v>90</v>
      </c>
      <c r="G456" s="5">
        <v>406.61999999999995</v>
      </c>
    </row>
    <row r="457" spans="1:7">
      <c r="A457" s="4">
        <v>31</v>
      </c>
      <c r="B457" s="4" t="s">
        <v>11</v>
      </c>
      <c r="C457" s="4" t="s">
        <v>17</v>
      </c>
      <c r="D457" s="4" t="s">
        <v>12</v>
      </c>
      <c r="E457" s="4" t="s">
        <v>10</v>
      </c>
      <c r="F457" s="6">
        <v>92</v>
      </c>
      <c r="G457" s="6">
        <v>195</v>
      </c>
    </row>
    <row r="458" spans="1:7">
      <c r="A458" s="4">
        <v>32</v>
      </c>
      <c r="B458" s="4" t="s">
        <v>7</v>
      </c>
      <c r="C458" s="4" t="s">
        <v>15</v>
      </c>
      <c r="D458" s="4" t="s">
        <v>12</v>
      </c>
      <c r="E458" s="4" t="s">
        <v>16</v>
      </c>
      <c r="F458" s="4">
        <v>92</v>
      </c>
      <c r="G458" s="5">
        <v>831.31200000000001</v>
      </c>
    </row>
    <row r="459" spans="1:7">
      <c r="A459" s="4">
        <v>33</v>
      </c>
      <c r="B459" s="4" t="s">
        <v>7</v>
      </c>
      <c r="C459" s="4" t="s">
        <v>15</v>
      </c>
      <c r="D459" s="4" t="s">
        <v>12</v>
      </c>
      <c r="E459" s="4" t="s">
        <v>16</v>
      </c>
      <c r="F459" s="4">
        <v>100</v>
      </c>
      <c r="G459" s="5">
        <v>702.79999999999984</v>
      </c>
    </row>
    <row r="460" spans="1:7">
      <c r="A460" s="4">
        <v>35</v>
      </c>
      <c r="B460" s="4" t="s">
        <v>7</v>
      </c>
      <c r="C460" s="4" t="s">
        <v>15</v>
      </c>
      <c r="D460" s="4" t="s">
        <v>12</v>
      </c>
      <c r="E460" s="4" t="s">
        <v>16</v>
      </c>
      <c r="F460" s="4">
        <v>102</v>
      </c>
      <c r="G460" s="5">
        <v>921.67199999999991</v>
      </c>
    </row>
    <row r="461" spans="1:7">
      <c r="A461" s="4">
        <v>37</v>
      </c>
      <c r="B461" s="4" t="s">
        <v>7</v>
      </c>
      <c r="C461" s="4" t="s">
        <v>15</v>
      </c>
      <c r="D461" s="4" t="s">
        <v>12</v>
      </c>
      <c r="E461" s="4" t="s">
        <v>16</v>
      </c>
      <c r="F461" s="4">
        <v>108</v>
      </c>
      <c r="G461" s="5">
        <v>650.59199999999998</v>
      </c>
    </row>
    <row r="462" spans="1:7">
      <c r="A462" s="4">
        <v>39</v>
      </c>
      <c r="B462" s="4" t="s">
        <v>7</v>
      </c>
      <c r="C462" s="4" t="s">
        <v>17</v>
      </c>
      <c r="D462" s="4" t="s">
        <v>12</v>
      </c>
      <c r="E462" s="4" t="s">
        <v>16</v>
      </c>
      <c r="F462" s="6">
        <v>110</v>
      </c>
      <c r="G462" s="6">
        <v>884</v>
      </c>
    </row>
    <row r="463" spans="1:7">
      <c r="A463" s="4">
        <v>40</v>
      </c>
      <c r="B463" s="4" t="s">
        <v>7</v>
      </c>
      <c r="C463" s="4" t="s">
        <v>15</v>
      </c>
      <c r="D463" s="4" t="s">
        <v>12</v>
      </c>
      <c r="E463" s="4" t="s">
        <v>16</v>
      </c>
      <c r="F463" s="4">
        <v>114</v>
      </c>
      <c r="G463" s="5">
        <v>502</v>
      </c>
    </row>
    <row r="464" spans="1:7">
      <c r="A464" s="4">
        <v>43</v>
      </c>
      <c r="B464" s="4" t="s">
        <v>7</v>
      </c>
      <c r="C464" s="4" t="s">
        <v>15</v>
      </c>
      <c r="D464" s="4" t="s">
        <v>12</v>
      </c>
      <c r="E464" s="4" t="s">
        <v>16</v>
      </c>
      <c r="F464" s="4">
        <v>115</v>
      </c>
      <c r="G464" s="5">
        <v>692.75999999999988</v>
      </c>
    </row>
    <row r="465" spans="1:7">
      <c r="A465" s="4">
        <v>45</v>
      </c>
      <c r="B465" s="4" t="s">
        <v>7</v>
      </c>
      <c r="C465" s="4" t="s">
        <v>15</v>
      </c>
      <c r="D465" s="4" t="s">
        <v>12</v>
      </c>
      <c r="E465" s="4" t="s">
        <v>16</v>
      </c>
      <c r="F465" s="4">
        <v>117</v>
      </c>
      <c r="G465" s="5">
        <v>728.30159999999989</v>
      </c>
    </row>
    <row r="466" spans="1:7">
      <c r="A466" s="4">
        <v>46</v>
      </c>
      <c r="B466" s="4" t="s">
        <v>7</v>
      </c>
      <c r="C466" s="4" t="s">
        <v>15</v>
      </c>
      <c r="D466" s="4" t="s">
        <v>12</v>
      </c>
      <c r="E466" s="4" t="s">
        <v>16</v>
      </c>
      <c r="F466" s="4">
        <v>117</v>
      </c>
      <c r="G466" s="5">
        <v>998.47799999999984</v>
      </c>
    </row>
    <row r="467" spans="1:7">
      <c r="A467" s="4">
        <v>48</v>
      </c>
      <c r="B467" s="4" t="s">
        <v>7</v>
      </c>
      <c r="C467" s="4" t="s">
        <v>17</v>
      </c>
      <c r="D467" s="4" t="s">
        <v>12</v>
      </c>
      <c r="E467" s="4" t="s">
        <v>16</v>
      </c>
      <c r="F467" s="6">
        <v>122</v>
      </c>
      <c r="G467" s="6">
        <v>1045</v>
      </c>
    </row>
    <row r="468" spans="1:7">
      <c r="A468" s="4">
        <v>49</v>
      </c>
      <c r="B468" s="4" t="s">
        <v>7</v>
      </c>
      <c r="C468" s="4" t="s">
        <v>15</v>
      </c>
      <c r="D468" s="4" t="s">
        <v>12</v>
      </c>
      <c r="E468" s="4" t="s">
        <v>16</v>
      </c>
      <c r="F468" s="4">
        <v>125</v>
      </c>
      <c r="G468" s="5">
        <v>1004</v>
      </c>
    </row>
    <row r="469" spans="1:7">
      <c r="A469" s="4">
        <v>51</v>
      </c>
      <c r="B469" s="4" t="s">
        <v>7</v>
      </c>
      <c r="C469" s="4" t="s">
        <v>15</v>
      </c>
      <c r="D469" s="4" t="s">
        <v>12</v>
      </c>
      <c r="E469" s="4" t="s">
        <v>16</v>
      </c>
      <c r="F469" s="4">
        <v>127</v>
      </c>
      <c r="G469" s="5">
        <v>1020.064</v>
      </c>
    </row>
    <row r="470" spans="1:7">
      <c r="A470" s="4">
        <v>52</v>
      </c>
      <c r="B470" s="4" t="s">
        <v>7</v>
      </c>
      <c r="C470" s="4" t="s">
        <v>15</v>
      </c>
      <c r="D470" s="4" t="s">
        <v>12</v>
      </c>
      <c r="E470" s="4" t="s">
        <v>16</v>
      </c>
      <c r="F470" s="6">
        <v>135</v>
      </c>
      <c r="G470" s="6">
        <v>1053</v>
      </c>
    </row>
    <row r="471" spans="1:7">
      <c r="A471" s="4">
        <v>54</v>
      </c>
      <c r="B471" s="4" t="s">
        <v>7</v>
      </c>
      <c r="C471" s="4" t="s">
        <v>15</v>
      </c>
      <c r="D471" s="4" t="s">
        <v>12</v>
      </c>
      <c r="E471" s="4" t="s">
        <v>16</v>
      </c>
      <c r="F471" s="4">
        <v>136</v>
      </c>
      <c r="G471" s="5">
        <v>1024.08</v>
      </c>
    </row>
    <row r="472" spans="1:7">
      <c r="A472" s="4">
        <v>55</v>
      </c>
      <c r="B472" s="4" t="s">
        <v>7</v>
      </c>
      <c r="C472" s="4" t="s">
        <v>15</v>
      </c>
      <c r="D472" s="4" t="s">
        <v>12</v>
      </c>
      <c r="E472" s="4" t="s">
        <v>16</v>
      </c>
      <c r="F472" s="4">
        <v>143</v>
      </c>
      <c r="G472" s="5">
        <v>861.4319999999999</v>
      </c>
    </row>
    <row r="473" spans="1:7">
      <c r="A473" s="4">
        <v>59</v>
      </c>
      <c r="B473" s="4" t="s">
        <v>7</v>
      </c>
      <c r="C473" s="4" t="s">
        <v>15</v>
      </c>
      <c r="D473" s="4" t="s">
        <v>12</v>
      </c>
      <c r="E473" s="4" t="s">
        <v>16</v>
      </c>
      <c r="F473" s="4">
        <v>153</v>
      </c>
      <c r="G473" s="5">
        <v>1228.896</v>
      </c>
    </row>
    <row r="474" spans="1:7">
      <c r="A474" s="4">
        <v>60</v>
      </c>
      <c r="B474" s="4" t="s">
        <v>7</v>
      </c>
      <c r="C474" s="4" t="s">
        <v>15</v>
      </c>
      <c r="D474" s="4" t="s">
        <v>12</v>
      </c>
      <c r="E474" s="4" t="s">
        <v>16</v>
      </c>
      <c r="F474" s="6">
        <v>156</v>
      </c>
      <c r="G474" s="6">
        <v>1025</v>
      </c>
    </row>
    <row r="475" spans="1:7">
      <c r="A475" s="4">
        <v>63</v>
      </c>
      <c r="B475" s="4" t="s">
        <v>7</v>
      </c>
      <c r="C475" s="4" t="s">
        <v>15</v>
      </c>
      <c r="D475" s="4" t="s">
        <v>12</v>
      </c>
      <c r="E475" s="4" t="s">
        <v>16</v>
      </c>
      <c r="F475" s="4">
        <v>162</v>
      </c>
      <c r="G475" s="5">
        <v>1305</v>
      </c>
    </row>
    <row r="478" spans="1:7">
      <c r="A478" t="s">
        <v>28</v>
      </c>
    </row>
    <row r="479" spans="1:7" ht="20">
      <c r="A479" s="13" t="s">
        <v>29</v>
      </c>
    </row>
    <row r="480" spans="1:7" ht="17">
      <c r="A480" s="14" t="s">
        <v>30</v>
      </c>
      <c r="B480" s="14" t="s">
        <v>6</v>
      </c>
      <c r="C480" s="14"/>
      <c r="D480" s="14"/>
      <c r="E480" s="14"/>
      <c r="F480" s="14"/>
    </row>
    <row r="481" spans="1:7" ht="17">
      <c r="A481" s="14">
        <v>12</v>
      </c>
      <c r="B481" s="14">
        <v>110</v>
      </c>
      <c r="C481" s="14"/>
      <c r="D481" s="14"/>
      <c r="E481" s="14"/>
      <c r="F481" s="14"/>
    </row>
    <row r="482" spans="1:7" ht="17">
      <c r="A482" s="14">
        <v>19</v>
      </c>
      <c r="B482" s="14">
        <v>195</v>
      </c>
      <c r="C482" s="14"/>
      <c r="D482" s="14"/>
      <c r="E482" s="14"/>
      <c r="F482" s="14"/>
    </row>
    <row r="483" spans="1:7" ht="17">
      <c r="A483" s="16"/>
    </row>
    <row r="485" spans="1:7" ht="32">
      <c r="A485" s="1" t="s">
        <v>0</v>
      </c>
      <c r="B485" s="8" t="s">
        <v>1</v>
      </c>
      <c r="C485" s="7" t="s">
        <v>2</v>
      </c>
      <c r="D485" s="7" t="s">
        <v>3</v>
      </c>
      <c r="E485" s="9" t="s">
        <v>4</v>
      </c>
      <c r="F485" s="2" t="s">
        <v>5</v>
      </c>
      <c r="G485" s="2" t="s">
        <v>6</v>
      </c>
    </row>
    <row r="486" spans="1:7">
      <c r="A486" s="4">
        <v>2</v>
      </c>
      <c r="B486" s="4" t="s">
        <v>11</v>
      </c>
      <c r="C486" s="6" t="s">
        <v>8</v>
      </c>
      <c r="D486" s="4" t="s">
        <v>12</v>
      </c>
      <c r="E486" s="4" t="s">
        <v>10</v>
      </c>
      <c r="F486" s="6">
        <v>28</v>
      </c>
      <c r="G486" s="6">
        <v>42</v>
      </c>
    </row>
    <row r="487" spans="1:7">
      <c r="A487" s="4">
        <v>3</v>
      </c>
      <c r="B487" s="4" t="s">
        <v>13</v>
      </c>
      <c r="C487" s="6" t="s">
        <v>8</v>
      </c>
      <c r="D487" s="6" t="s">
        <v>14</v>
      </c>
      <c r="E487" s="4" t="s">
        <v>10</v>
      </c>
      <c r="F487" s="6">
        <v>43</v>
      </c>
      <c r="G487" s="6">
        <v>150</v>
      </c>
    </row>
    <row r="488" spans="1:7">
      <c r="A488" s="4">
        <v>4</v>
      </c>
      <c r="B488" s="4" t="s">
        <v>11</v>
      </c>
      <c r="C488" s="6" t="s">
        <v>8</v>
      </c>
      <c r="D488" s="4" t="s">
        <v>12</v>
      </c>
      <c r="E488" s="4" t="s">
        <v>10</v>
      </c>
      <c r="F488" s="6">
        <v>45</v>
      </c>
      <c r="G488" s="6">
        <v>68</v>
      </c>
    </row>
    <row r="489" spans="1:7">
      <c r="A489" s="4">
        <v>7</v>
      </c>
      <c r="B489" s="4" t="s">
        <v>7</v>
      </c>
      <c r="C489" s="4" t="s">
        <v>15</v>
      </c>
      <c r="D489" s="4" t="s">
        <v>12</v>
      </c>
      <c r="E489" s="4" t="s">
        <v>16</v>
      </c>
      <c r="F489" s="4">
        <v>52</v>
      </c>
      <c r="G489" s="5">
        <v>274.09199999999998</v>
      </c>
    </row>
    <row r="490" spans="1:7">
      <c r="A490" s="4">
        <v>8</v>
      </c>
      <c r="B490" s="4" t="s">
        <v>7</v>
      </c>
      <c r="C490" s="4" t="s">
        <v>15</v>
      </c>
      <c r="D490" s="4" t="s">
        <v>12</v>
      </c>
      <c r="E490" s="4" t="s">
        <v>16</v>
      </c>
      <c r="F490" s="4">
        <v>61</v>
      </c>
      <c r="G490" s="5">
        <v>336.84199999999998</v>
      </c>
    </row>
    <row r="491" spans="1:7">
      <c r="A491" s="4">
        <v>9</v>
      </c>
      <c r="B491" s="4" t="s">
        <v>11</v>
      </c>
      <c r="C491" s="6" t="s">
        <v>8</v>
      </c>
      <c r="D491" s="4" t="s">
        <v>12</v>
      </c>
      <c r="E491" s="4" t="s">
        <v>10</v>
      </c>
      <c r="F491" s="6">
        <v>65</v>
      </c>
      <c r="G491" s="6">
        <v>139</v>
      </c>
    </row>
    <row r="492" spans="1:7">
      <c r="A492" s="4">
        <v>10</v>
      </c>
      <c r="B492" s="4" t="s">
        <v>7</v>
      </c>
      <c r="C492" s="4" t="s">
        <v>15</v>
      </c>
      <c r="D492" s="4" t="s">
        <v>12</v>
      </c>
      <c r="E492" s="4" t="s">
        <v>16</v>
      </c>
      <c r="F492" s="4">
        <v>68</v>
      </c>
      <c r="G492" s="5">
        <v>512.04</v>
      </c>
    </row>
    <row r="493" spans="1:7">
      <c r="A493" s="4">
        <v>12</v>
      </c>
      <c r="B493" s="4" t="s">
        <v>7</v>
      </c>
      <c r="C493" s="4" t="s">
        <v>15</v>
      </c>
      <c r="D493" s="4" t="s">
        <v>12</v>
      </c>
      <c r="E493" s="4" t="s">
        <v>16</v>
      </c>
      <c r="F493" s="4">
        <v>70</v>
      </c>
      <c r="G493" s="5">
        <v>379.512</v>
      </c>
    </row>
    <row r="494" spans="1:7">
      <c r="A494" s="4">
        <v>13</v>
      </c>
      <c r="B494" s="4" t="s">
        <v>7</v>
      </c>
      <c r="C494" s="4" t="s">
        <v>15</v>
      </c>
      <c r="D494" s="4" t="s">
        <v>12</v>
      </c>
      <c r="E494" s="4" t="s">
        <v>16</v>
      </c>
      <c r="F494" s="4">
        <v>72</v>
      </c>
      <c r="G494" s="5">
        <v>397.58399999999995</v>
      </c>
    </row>
    <row r="495" spans="1:7">
      <c r="A495" s="4">
        <v>14</v>
      </c>
      <c r="B495" s="4" t="s">
        <v>7</v>
      </c>
      <c r="C495" s="4" t="s">
        <v>15</v>
      </c>
      <c r="D495" s="4" t="s">
        <v>12</v>
      </c>
      <c r="E495" s="4" t="s">
        <v>16</v>
      </c>
      <c r="F495" s="4">
        <v>73</v>
      </c>
      <c r="G495" s="5">
        <v>659.62799999999993</v>
      </c>
    </row>
    <row r="496" spans="1:7">
      <c r="A496" s="4">
        <v>15</v>
      </c>
      <c r="B496" s="4" t="s">
        <v>7</v>
      </c>
      <c r="C496" s="4" t="s">
        <v>15</v>
      </c>
      <c r="D496" s="4" t="s">
        <v>12</v>
      </c>
      <c r="E496" s="4" t="s">
        <v>16</v>
      </c>
      <c r="F496" s="4">
        <v>74</v>
      </c>
      <c r="G496" s="5">
        <v>482.92399999999998</v>
      </c>
    </row>
    <row r="497" spans="1:8">
      <c r="A497" s="4">
        <v>16</v>
      </c>
      <c r="B497" s="4" t="s">
        <v>11</v>
      </c>
      <c r="C497" s="6" t="s">
        <v>8</v>
      </c>
      <c r="D497" s="4" t="s">
        <v>12</v>
      </c>
      <c r="E497" s="4" t="s">
        <v>10</v>
      </c>
      <c r="F497" s="6">
        <v>75</v>
      </c>
      <c r="G497" s="6">
        <v>110</v>
      </c>
      <c r="H497" s="20" t="s">
        <v>31</v>
      </c>
    </row>
    <row r="498" spans="1:8">
      <c r="A498" s="4">
        <v>19</v>
      </c>
      <c r="B498" s="4" t="s">
        <v>7</v>
      </c>
      <c r="C498" s="4" t="s">
        <v>15</v>
      </c>
      <c r="D498" s="4" t="s">
        <v>12</v>
      </c>
      <c r="E498" s="4" t="s">
        <v>16</v>
      </c>
      <c r="F498" s="4">
        <v>79</v>
      </c>
      <c r="G498" s="5">
        <v>475.89599999999996</v>
      </c>
    </row>
    <row r="499" spans="1:8">
      <c r="A499" s="4">
        <v>23</v>
      </c>
      <c r="B499" s="4" t="s">
        <v>7</v>
      </c>
      <c r="C499" s="4" t="s">
        <v>15</v>
      </c>
      <c r="D499" s="4" t="s">
        <v>12</v>
      </c>
      <c r="E499" s="4" t="s">
        <v>16</v>
      </c>
      <c r="F499" s="4">
        <v>81</v>
      </c>
      <c r="G499" s="5">
        <v>691.25399999999991</v>
      </c>
    </row>
    <row r="500" spans="1:8">
      <c r="A500" s="4">
        <v>24</v>
      </c>
      <c r="B500" s="4" t="s">
        <v>7</v>
      </c>
      <c r="C500" s="4" t="s">
        <v>15</v>
      </c>
      <c r="D500" s="4" t="s">
        <v>12</v>
      </c>
      <c r="E500" s="4" t="s">
        <v>16</v>
      </c>
      <c r="F500" s="4">
        <v>83</v>
      </c>
      <c r="G500" s="5">
        <v>466.6592</v>
      </c>
    </row>
    <row r="501" spans="1:8">
      <c r="A501" s="4">
        <v>26</v>
      </c>
      <c r="B501" s="4" t="s">
        <v>7</v>
      </c>
      <c r="C501" s="4" t="s">
        <v>15</v>
      </c>
      <c r="D501" s="4" t="s">
        <v>12</v>
      </c>
      <c r="E501" s="4" t="s">
        <v>16</v>
      </c>
      <c r="F501" s="4">
        <v>84</v>
      </c>
      <c r="G501" s="5">
        <v>421.67999999999995</v>
      </c>
    </row>
    <row r="502" spans="1:8">
      <c r="A502" s="4">
        <v>27</v>
      </c>
      <c r="B502" s="4" t="s">
        <v>7</v>
      </c>
      <c r="C502" s="4" t="s">
        <v>15</v>
      </c>
      <c r="D502" s="4" t="s">
        <v>12</v>
      </c>
      <c r="E502" s="4" t="s">
        <v>16</v>
      </c>
      <c r="F502" s="4">
        <v>85</v>
      </c>
      <c r="G502" s="5">
        <v>725.39</v>
      </c>
    </row>
    <row r="503" spans="1:8">
      <c r="A503" s="4">
        <v>30</v>
      </c>
      <c r="B503" s="4" t="s">
        <v>7</v>
      </c>
      <c r="C503" s="4" t="s">
        <v>15</v>
      </c>
      <c r="D503" s="4" t="s">
        <v>12</v>
      </c>
      <c r="E503" s="4" t="s">
        <v>16</v>
      </c>
      <c r="F503" s="4">
        <v>90</v>
      </c>
      <c r="G503" s="5">
        <v>406.61999999999995</v>
      </c>
    </row>
    <row r="504" spans="1:8">
      <c r="A504" s="4">
        <v>31</v>
      </c>
      <c r="B504" s="4" t="s">
        <v>11</v>
      </c>
      <c r="C504" s="4" t="s">
        <v>17</v>
      </c>
      <c r="D504" s="4" t="s">
        <v>12</v>
      </c>
      <c r="E504" s="4" t="s">
        <v>10</v>
      </c>
      <c r="F504" s="6">
        <v>92</v>
      </c>
      <c r="G504" s="6">
        <v>195</v>
      </c>
      <c r="H504" s="20" t="s">
        <v>31</v>
      </c>
    </row>
    <row r="505" spans="1:8">
      <c r="A505" s="4">
        <v>32</v>
      </c>
      <c r="B505" s="4" t="s">
        <v>7</v>
      </c>
      <c r="C505" s="4" t="s">
        <v>15</v>
      </c>
      <c r="D505" s="4" t="s">
        <v>12</v>
      </c>
      <c r="E505" s="4" t="s">
        <v>16</v>
      </c>
      <c r="F505" s="4">
        <v>92</v>
      </c>
      <c r="G505" s="5">
        <v>831.31200000000001</v>
      </c>
    </row>
    <row r="506" spans="1:8">
      <c r="A506" s="4">
        <v>33</v>
      </c>
      <c r="B506" s="4" t="s">
        <v>7</v>
      </c>
      <c r="C506" s="4" t="s">
        <v>15</v>
      </c>
      <c r="D506" s="4" t="s">
        <v>12</v>
      </c>
      <c r="E506" s="4" t="s">
        <v>16</v>
      </c>
      <c r="F506" s="4">
        <v>100</v>
      </c>
      <c r="G506" s="5">
        <v>702.79999999999984</v>
      </c>
    </row>
    <row r="507" spans="1:8">
      <c r="A507" s="4">
        <v>35</v>
      </c>
      <c r="B507" s="4" t="s">
        <v>7</v>
      </c>
      <c r="C507" s="4" t="s">
        <v>15</v>
      </c>
      <c r="D507" s="4" t="s">
        <v>12</v>
      </c>
      <c r="E507" s="4" t="s">
        <v>16</v>
      </c>
      <c r="F507" s="4">
        <v>102</v>
      </c>
      <c r="G507" s="5">
        <v>921.67199999999991</v>
      </c>
    </row>
    <row r="508" spans="1:8">
      <c r="A508" s="4">
        <v>37</v>
      </c>
      <c r="B508" s="4" t="s">
        <v>7</v>
      </c>
      <c r="C508" s="4" t="s">
        <v>15</v>
      </c>
      <c r="D508" s="4" t="s">
        <v>12</v>
      </c>
      <c r="E508" s="4" t="s">
        <v>16</v>
      </c>
      <c r="F508" s="4">
        <v>108</v>
      </c>
      <c r="G508" s="5">
        <v>650.59199999999998</v>
      </c>
    </row>
    <row r="509" spans="1:8">
      <c r="A509" s="4">
        <v>39</v>
      </c>
      <c r="B509" s="4" t="s">
        <v>7</v>
      </c>
      <c r="C509" s="4" t="s">
        <v>17</v>
      </c>
      <c r="D509" s="4" t="s">
        <v>12</v>
      </c>
      <c r="E509" s="4" t="s">
        <v>16</v>
      </c>
      <c r="F509" s="6">
        <v>110</v>
      </c>
      <c r="G509" s="6">
        <v>884</v>
      </c>
    </row>
    <row r="510" spans="1:8">
      <c r="A510" s="4">
        <v>40</v>
      </c>
      <c r="B510" s="4" t="s">
        <v>7</v>
      </c>
      <c r="C510" s="4" t="s">
        <v>15</v>
      </c>
      <c r="D510" s="4" t="s">
        <v>12</v>
      </c>
      <c r="E510" s="4" t="s">
        <v>16</v>
      </c>
      <c r="F510" s="4">
        <v>114</v>
      </c>
      <c r="G510" s="5">
        <v>502</v>
      </c>
    </row>
    <row r="511" spans="1:8">
      <c r="A511" s="4">
        <v>43</v>
      </c>
      <c r="B511" s="4" t="s">
        <v>7</v>
      </c>
      <c r="C511" s="4" t="s">
        <v>15</v>
      </c>
      <c r="D511" s="4" t="s">
        <v>12</v>
      </c>
      <c r="E511" s="4" t="s">
        <v>16</v>
      </c>
      <c r="F511" s="4">
        <v>115</v>
      </c>
      <c r="G511" s="5">
        <v>692.75999999999988</v>
      </c>
    </row>
    <row r="512" spans="1:8">
      <c r="A512" s="4">
        <v>45</v>
      </c>
      <c r="B512" s="4" t="s">
        <v>7</v>
      </c>
      <c r="C512" s="4" t="s">
        <v>15</v>
      </c>
      <c r="D512" s="4" t="s">
        <v>12</v>
      </c>
      <c r="E512" s="4" t="s">
        <v>16</v>
      </c>
      <c r="F512" s="4">
        <v>117</v>
      </c>
      <c r="G512" s="5">
        <v>728.30159999999989</v>
      </c>
    </row>
    <row r="513" spans="1:7">
      <c r="A513" s="4">
        <v>46</v>
      </c>
      <c r="B513" s="4" t="s">
        <v>7</v>
      </c>
      <c r="C513" s="4" t="s">
        <v>15</v>
      </c>
      <c r="D513" s="4" t="s">
        <v>12</v>
      </c>
      <c r="E513" s="4" t="s">
        <v>16</v>
      </c>
      <c r="F513" s="4">
        <v>117</v>
      </c>
      <c r="G513" s="5">
        <v>998.47799999999984</v>
      </c>
    </row>
    <row r="514" spans="1:7">
      <c r="A514" s="4">
        <v>48</v>
      </c>
      <c r="B514" s="4" t="s">
        <v>7</v>
      </c>
      <c r="C514" s="4" t="s">
        <v>17</v>
      </c>
      <c r="D514" s="4" t="s">
        <v>12</v>
      </c>
      <c r="E514" s="4" t="s">
        <v>16</v>
      </c>
      <c r="F514" s="6">
        <v>122</v>
      </c>
      <c r="G514" s="6">
        <v>1045</v>
      </c>
    </row>
    <row r="515" spans="1:7">
      <c r="A515" s="4">
        <v>49</v>
      </c>
      <c r="B515" s="4" t="s">
        <v>7</v>
      </c>
      <c r="C515" s="4" t="s">
        <v>15</v>
      </c>
      <c r="D515" s="4" t="s">
        <v>12</v>
      </c>
      <c r="E515" s="4" t="s">
        <v>16</v>
      </c>
      <c r="F515" s="4">
        <v>125</v>
      </c>
      <c r="G515" s="5">
        <v>1004</v>
      </c>
    </row>
    <row r="516" spans="1:7">
      <c r="A516" s="4">
        <v>51</v>
      </c>
      <c r="B516" s="4" t="s">
        <v>7</v>
      </c>
      <c r="C516" s="4" t="s">
        <v>15</v>
      </c>
      <c r="D516" s="4" t="s">
        <v>12</v>
      </c>
      <c r="E516" s="4" t="s">
        <v>16</v>
      </c>
      <c r="F516" s="4">
        <v>127</v>
      </c>
      <c r="G516" s="5">
        <v>1020.064</v>
      </c>
    </row>
    <row r="517" spans="1:7">
      <c r="A517" s="4">
        <v>52</v>
      </c>
      <c r="B517" s="4" t="s">
        <v>7</v>
      </c>
      <c r="C517" s="4" t="s">
        <v>15</v>
      </c>
      <c r="D517" s="4" t="s">
        <v>12</v>
      </c>
      <c r="E517" s="4" t="s">
        <v>16</v>
      </c>
      <c r="F517" s="6">
        <v>135</v>
      </c>
      <c r="G517" s="6">
        <v>1053</v>
      </c>
    </row>
    <row r="518" spans="1:7">
      <c r="A518" s="4">
        <v>54</v>
      </c>
      <c r="B518" s="4" t="s">
        <v>7</v>
      </c>
      <c r="C518" s="4" t="s">
        <v>15</v>
      </c>
      <c r="D518" s="4" t="s">
        <v>12</v>
      </c>
      <c r="E518" s="4" t="s">
        <v>16</v>
      </c>
      <c r="F518" s="4">
        <v>136</v>
      </c>
      <c r="G518" s="5">
        <v>1024.08</v>
      </c>
    </row>
    <row r="519" spans="1:7">
      <c r="A519" s="4">
        <v>55</v>
      </c>
      <c r="B519" s="4" t="s">
        <v>7</v>
      </c>
      <c r="C519" s="4" t="s">
        <v>15</v>
      </c>
      <c r="D519" s="4" t="s">
        <v>12</v>
      </c>
      <c r="E519" s="4" t="s">
        <v>16</v>
      </c>
      <c r="F519" s="4">
        <v>143</v>
      </c>
      <c r="G519" s="5">
        <v>861.4319999999999</v>
      </c>
    </row>
    <row r="520" spans="1:7">
      <c r="A520" s="4">
        <v>59</v>
      </c>
      <c r="B520" s="4" t="s">
        <v>7</v>
      </c>
      <c r="C520" s="4" t="s">
        <v>15</v>
      </c>
      <c r="D520" s="4" t="s">
        <v>12</v>
      </c>
      <c r="E520" s="4" t="s">
        <v>16</v>
      </c>
      <c r="F520" s="4">
        <v>153</v>
      </c>
      <c r="G520" s="5">
        <v>1228.896</v>
      </c>
    </row>
    <row r="521" spans="1:7">
      <c r="A521" s="4">
        <v>60</v>
      </c>
      <c r="B521" s="4" t="s">
        <v>7</v>
      </c>
      <c r="C521" s="4" t="s">
        <v>15</v>
      </c>
      <c r="D521" s="4" t="s">
        <v>12</v>
      </c>
      <c r="E521" s="4" t="s">
        <v>16</v>
      </c>
      <c r="F521" s="6">
        <v>156</v>
      </c>
      <c r="G521" s="6">
        <v>1025</v>
      </c>
    </row>
    <row r="522" spans="1:7">
      <c r="A522" s="4">
        <v>63</v>
      </c>
      <c r="B522" s="4" t="s">
        <v>7</v>
      </c>
      <c r="C522" s="4" t="s">
        <v>15</v>
      </c>
      <c r="D522" s="4" t="s">
        <v>12</v>
      </c>
      <c r="E522" s="4" t="s">
        <v>16</v>
      </c>
      <c r="F522" s="4">
        <v>162</v>
      </c>
      <c r="G522" s="5">
        <v>1305</v>
      </c>
    </row>
    <row r="525" spans="1:7" ht="32">
      <c r="A525" s="1" t="s">
        <v>0</v>
      </c>
      <c r="B525" s="8" t="s">
        <v>1</v>
      </c>
      <c r="C525" s="7" t="s">
        <v>2</v>
      </c>
      <c r="D525" s="7" t="s">
        <v>3</v>
      </c>
      <c r="E525" s="9" t="s">
        <v>4</v>
      </c>
      <c r="F525" s="2" t="s">
        <v>5</v>
      </c>
      <c r="G525" s="2" t="s">
        <v>6</v>
      </c>
    </row>
    <row r="526" spans="1:7">
      <c r="A526" s="4">
        <v>2</v>
      </c>
      <c r="B526" s="4" t="s">
        <v>11</v>
      </c>
      <c r="C526" s="6" t="s">
        <v>8</v>
      </c>
      <c r="D526" s="4" t="s">
        <v>12</v>
      </c>
      <c r="E526" s="4" t="s">
        <v>10</v>
      </c>
      <c r="F526" s="6">
        <v>28</v>
      </c>
      <c r="G526" s="6">
        <v>42</v>
      </c>
    </row>
    <row r="527" spans="1:7">
      <c r="A527" s="4">
        <v>3</v>
      </c>
      <c r="B527" s="4" t="s">
        <v>13</v>
      </c>
      <c r="C527" s="6" t="s">
        <v>8</v>
      </c>
      <c r="D527" s="6" t="s">
        <v>14</v>
      </c>
      <c r="E527" s="4" t="s">
        <v>10</v>
      </c>
      <c r="F527" s="6">
        <v>43</v>
      </c>
      <c r="G527" s="6">
        <v>150</v>
      </c>
    </row>
    <row r="528" spans="1:7">
      <c r="A528" s="4">
        <v>4</v>
      </c>
      <c r="B528" s="4" t="s">
        <v>11</v>
      </c>
      <c r="C528" s="6" t="s">
        <v>8</v>
      </c>
      <c r="D528" s="4" t="s">
        <v>12</v>
      </c>
      <c r="E528" s="4" t="s">
        <v>10</v>
      </c>
      <c r="F528" s="6">
        <v>45</v>
      </c>
      <c r="G528" s="6">
        <v>68</v>
      </c>
    </row>
    <row r="529" spans="1:7">
      <c r="A529" s="4">
        <v>7</v>
      </c>
      <c r="B529" s="4" t="s">
        <v>7</v>
      </c>
      <c r="C529" s="4" t="s">
        <v>15</v>
      </c>
      <c r="D529" s="4" t="s">
        <v>12</v>
      </c>
      <c r="E529" s="4" t="s">
        <v>16</v>
      </c>
      <c r="F529" s="4">
        <v>52</v>
      </c>
      <c r="G529" s="5">
        <v>274.09199999999998</v>
      </c>
    </row>
    <row r="530" spans="1:7">
      <c r="A530" s="4">
        <v>8</v>
      </c>
      <c r="B530" s="4" t="s">
        <v>7</v>
      </c>
      <c r="C530" s="4" t="s">
        <v>15</v>
      </c>
      <c r="D530" s="4" t="s">
        <v>12</v>
      </c>
      <c r="E530" s="4" t="s">
        <v>16</v>
      </c>
      <c r="F530" s="4">
        <v>61</v>
      </c>
      <c r="G530" s="5">
        <v>336.84199999999998</v>
      </c>
    </row>
    <row r="531" spans="1:7">
      <c r="A531" s="4">
        <v>9</v>
      </c>
      <c r="B531" s="4" t="s">
        <v>11</v>
      </c>
      <c r="C531" s="6" t="s">
        <v>8</v>
      </c>
      <c r="D531" s="4" t="s">
        <v>12</v>
      </c>
      <c r="E531" s="4" t="s">
        <v>10</v>
      </c>
      <c r="F531" s="6">
        <v>65</v>
      </c>
      <c r="G531" s="6">
        <v>139</v>
      </c>
    </row>
    <row r="532" spans="1:7">
      <c r="A532" s="4">
        <v>10</v>
      </c>
      <c r="B532" s="4" t="s">
        <v>7</v>
      </c>
      <c r="C532" s="4" t="s">
        <v>15</v>
      </c>
      <c r="D532" s="4" t="s">
        <v>12</v>
      </c>
      <c r="E532" s="4" t="s">
        <v>16</v>
      </c>
      <c r="F532" s="4">
        <v>68</v>
      </c>
      <c r="G532" s="5">
        <v>512.04</v>
      </c>
    </row>
    <row r="533" spans="1:7">
      <c r="A533" s="4">
        <v>12</v>
      </c>
      <c r="B533" s="4" t="s">
        <v>7</v>
      </c>
      <c r="C533" s="4" t="s">
        <v>15</v>
      </c>
      <c r="D533" s="4" t="s">
        <v>12</v>
      </c>
      <c r="E533" s="4" t="s">
        <v>16</v>
      </c>
      <c r="F533" s="4">
        <v>70</v>
      </c>
      <c r="G533" s="5">
        <v>379.512</v>
      </c>
    </row>
    <row r="534" spans="1:7">
      <c r="A534" s="4">
        <v>13</v>
      </c>
      <c r="B534" s="4" t="s">
        <v>7</v>
      </c>
      <c r="C534" s="4" t="s">
        <v>15</v>
      </c>
      <c r="D534" s="4" t="s">
        <v>12</v>
      </c>
      <c r="E534" s="4" t="s">
        <v>16</v>
      </c>
      <c r="F534" s="4">
        <v>72</v>
      </c>
      <c r="G534" s="5">
        <v>397.58399999999995</v>
      </c>
    </row>
    <row r="535" spans="1:7">
      <c r="A535" s="4">
        <v>14</v>
      </c>
      <c r="B535" s="4" t="s">
        <v>7</v>
      </c>
      <c r="C535" s="4" t="s">
        <v>15</v>
      </c>
      <c r="D535" s="4" t="s">
        <v>12</v>
      </c>
      <c r="E535" s="4" t="s">
        <v>16</v>
      </c>
      <c r="F535" s="4">
        <v>73</v>
      </c>
      <c r="G535" s="5">
        <v>659.62799999999993</v>
      </c>
    </row>
    <row r="536" spans="1:7">
      <c r="A536" s="4">
        <v>15</v>
      </c>
      <c r="B536" s="4" t="s">
        <v>7</v>
      </c>
      <c r="C536" s="4" t="s">
        <v>15</v>
      </c>
      <c r="D536" s="4" t="s">
        <v>12</v>
      </c>
      <c r="E536" s="4" t="s">
        <v>16</v>
      </c>
      <c r="F536" s="4">
        <v>74</v>
      </c>
      <c r="G536" s="5">
        <v>482.92399999999998</v>
      </c>
    </row>
    <row r="537" spans="1:7">
      <c r="A537" s="4">
        <v>19</v>
      </c>
      <c r="B537" s="4" t="s">
        <v>7</v>
      </c>
      <c r="C537" s="4" t="s">
        <v>15</v>
      </c>
      <c r="D537" s="4" t="s">
        <v>12</v>
      </c>
      <c r="E537" s="4" t="s">
        <v>16</v>
      </c>
      <c r="F537" s="4">
        <v>79</v>
      </c>
      <c r="G537" s="5">
        <v>475.89599999999996</v>
      </c>
    </row>
    <row r="538" spans="1:7">
      <c r="A538" s="4">
        <v>23</v>
      </c>
      <c r="B538" s="4" t="s">
        <v>7</v>
      </c>
      <c r="C538" s="4" t="s">
        <v>15</v>
      </c>
      <c r="D538" s="4" t="s">
        <v>12</v>
      </c>
      <c r="E538" s="4" t="s">
        <v>16</v>
      </c>
      <c r="F538" s="4">
        <v>81</v>
      </c>
      <c r="G538" s="5">
        <v>691.25399999999991</v>
      </c>
    </row>
    <row r="539" spans="1:7">
      <c r="A539" s="4">
        <v>24</v>
      </c>
      <c r="B539" s="4" t="s">
        <v>7</v>
      </c>
      <c r="C539" s="4" t="s">
        <v>15</v>
      </c>
      <c r="D539" s="4" t="s">
        <v>12</v>
      </c>
      <c r="E539" s="4" t="s">
        <v>16</v>
      </c>
      <c r="F539" s="4">
        <v>83</v>
      </c>
      <c r="G539" s="5">
        <v>466.6592</v>
      </c>
    </row>
    <row r="540" spans="1:7">
      <c r="A540" s="4">
        <v>26</v>
      </c>
      <c r="B540" s="4" t="s">
        <v>7</v>
      </c>
      <c r="C540" s="4" t="s">
        <v>15</v>
      </c>
      <c r="D540" s="4" t="s">
        <v>12</v>
      </c>
      <c r="E540" s="4" t="s">
        <v>16</v>
      </c>
      <c r="F540" s="4">
        <v>84</v>
      </c>
      <c r="G540" s="5">
        <v>421.67999999999995</v>
      </c>
    </row>
    <row r="541" spans="1:7">
      <c r="A541" s="4">
        <v>27</v>
      </c>
      <c r="B541" s="4" t="s">
        <v>7</v>
      </c>
      <c r="C541" s="4" t="s">
        <v>15</v>
      </c>
      <c r="D541" s="4" t="s">
        <v>12</v>
      </c>
      <c r="E541" s="4" t="s">
        <v>16</v>
      </c>
      <c r="F541" s="4">
        <v>85</v>
      </c>
      <c r="G541" s="5">
        <v>725.39</v>
      </c>
    </row>
    <row r="542" spans="1:7">
      <c r="A542" s="4">
        <v>30</v>
      </c>
      <c r="B542" s="4" t="s">
        <v>7</v>
      </c>
      <c r="C542" s="4" t="s">
        <v>15</v>
      </c>
      <c r="D542" s="4" t="s">
        <v>12</v>
      </c>
      <c r="E542" s="4" t="s">
        <v>16</v>
      </c>
      <c r="F542" s="4">
        <v>90</v>
      </c>
      <c r="G542" s="5">
        <v>406.61999999999995</v>
      </c>
    </row>
    <row r="543" spans="1:7">
      <c r="A543" s="4">
        <v>32</v>
      </c>
      <c r="B543" s="4" t="s">
        <v>7</v>
      </c>
      <c r="C543" s="4" t="s">
        <v>15</v>
      </c>
      <c r="D543" s="4" t="s">
        <v>12</v>
      </c>
      <c r="E543" s="4" t="s">
        <v>16</v>
      </c>
      <c r="F543" s="4">
        <v>92</v>
      </c>
      <c r="G543" s="5">
        <v>831.31200000000001</v>
      </c>
    </row>
    <row r="544" spans="1:7">
      <c r="A544" s="4">
        <v>33</v>
      </c>
      <c r="B544" s="4" t="s">
        <v>7</v>
      </c>
      <c r="C544" s="4" t="s">
        <v>15</v>
      </c>
      <c r="D544" s="4" t="s">
        <v>12</v>
      </c>
      <c r="E544" s="4" t="s">
        <v>16</v>
      </c>
      <c r="F544" s="4">
        <v>100</v>
      </c>
      <c r="G544" s="5">
        <v>702.79999999999984</v>
      </c>
    </row>
    <row r="545" spans="1:7">
      <c r="A545" s="4">
        <v>35</v>
      </c>
      <c r="B545" s="4" t="s">
        <v>7</v>
      </c>
      <c r="C545" s="4" t="s">
        <v>15</v>
      </c>
      <c r="D545" s="4" t="s">
        <v>12</v>
      </c>
      <c r="E545" s="4" t="s">
        <v>16</v>
      </c>
      <c r="F545" s="4">
        <v>102</v>
      </c>
      <c r="G545" s="5">
        <v>921.67199999999991</v>
      </c>
    </row>
    <row r="546" spans="1:7">
      <c r="A546" s="4">
        <v>37</v>
      </c>
      <c r="B546" s="4" t="s">
        <v>7</v>
      </c>
      <c r="C546" s="4" t="s">
        <v>15</v>
      </c>
      <c r="D546" s="4" t="s">
        <v>12</v>
      </c>
      <c r="E546" s="4" t="s">
        <v>16</v>
      </c>
      <c r="F546" s="4">
        <v>108</v>
      </c>
      <c r="G546" s="5">
        <v>650.59199999999998</v>
      </c>
    </row>
    <row r="547" spans="1:7">
      <c r="A547" s="4">
        <v>39</v>
      </c>
      <c r="B547" s="4" t="s">
        <v>7</v>
      </c>
      <c r="C547" s="4" t="s">
        <v>17</v>
      </c>
      <c r="D547" s="4" t="s">
        <v>12</v>
      </c>
      <c r="E547" s="4" t="s">
        <v>16</v>
      </c>
      <c r="F547" s="6">
        <v>110</v>
      </c>
      <c r="G547" s="6">
        <v>884</v>
      </c>
    </row>
    <row r="548" spans="1:7">
      <c r="A548" s="4">
        <v>40</v>
      </c>
      <c r="B548" s="4" t="s">
        <v>7</v>
      </c>
      <c r="C548" s="4" t="s">
        <v>15</v>
      </c>
      <c r="D548" s="4" t="s">
        <v>12</v>
      </c>
      <c r="E548" s="4" t="s">
        <v>16</v>
      </c>
      <c r="F548" s="4">
        <v>114</v>
      </c>
      <c r="G548" s="5">
        <v>502</v>
      </c>
    </row>
    <row r="549" spans="1:7">
      <c r="A549" s="4">
        <v>43</v>
      </c>
      <c r="B549" s="4" t="s">
        <v>7</v>
      </c>
      <c r="C549" s="4" t="s">
        <v>15</v>
      </c>
      <c r="D549" s="4" t="s">
        <v>12</v>
      </c>
      <c r="E549" s="4" t="s">
        <v>16</v>
      </c>
      <c r="F549" s="4">
        <v>115</v>
      </c>
      <c r="G549" s="5">
        <v>692.75999999999988</v>
      </c>
    </row>
    <row r="550" spans="1:7">
      <c r="A550" s="4">
        <v>45</v>
      </c>
      <c r="B550" s="4" t="s">
        <v>7</v>
      </c>
      <c r="C550" s="4" t="s">
        <v>15</v>
      </c>
      <c r="D550" s="4" t="s">
        <v>12</v>
      </c>
      <c r="E550" s="4" t="s">
        <v>16</v>
      </c>
      <c r="F550" s="4">
        <v>117</v>
      </c>
      <c r="G550" s="5">
        <v>728.30159999999989</v>
      </c>
    </row>
    <row r="551" spans="1:7">
      <c r="A551" s="4">
        <v>46</v>
      </c>
      <c r="B551" s="4" t="s">
        <v>7</v>
      </c>
      <c r="C551" s="4" t="s">
        <v>15</v>
      </c>
      <c r="D551" s="4" t="s">
        <v>12</v>
      </c>
      <c r="E551" s="4" t="s">
        <v>16</v>
      </c>
      <c r="F551" s="4">
        <v>117</v>
      </c>
      <c r="G551" s="5">
        <v>998.47799999999984</v>
      </c>
    </row>
    <row r="552" spans="1:7">
      <c r="A552" s="4">
        <v>48</v>
      </c>
      <c r="B552" s="4" t="s">
        <v>7</v>
      </c>
      <c r="C552" s="4" t="s">
        <v>17</v>
      </c>
      <c r="D552" s="4" t="s">
        <v>12</v>
      </c>
      <c r="E552" s="4" t="s">
        <v>16</v>
      </c>
      <c r="F552" s="6">
        <v>122</v>
      </c>
      <c r="G552" s="6">
        <v>1045</v>
      </c>
    </row>
    <row r="553" spans="1:7">
      <c r="A553" s="4">
        <v>49</v>
      </c>
      <c r="B553" s="4" t="s">
        <v>7</v>
      </c>
      <c r="C553" s="4" t="s">
        <v>15</v>
      </c>
      <c r="D553" s="4" t="s">
        <v>12</v>
      </c>
      <c r="E553" s="4" t="s">
        <v>16</v>
      </c>
      <c r="F553" s="4">
        <v>125</v>
      </c>
      <c r="G553" s="5">
        <v>1004</v>
      </c>
    </row>
    <row r="554" spans="1:7">
      <c r="A554" s="4">
        <v>51</v>
      </c>
      <c r="B554" s="4" t="s">
        <v>7</v>
      </c>
      <c r="C554" s="4" t="s">
        <v>15</v>
      </c>
      <c r="D554" s="4" t="s">
        <v>12</v>
      </c>
      <c r="E554" s="4" t="s">
        <v>16</v>
      </c>
      <c r="F554" s="4">
        <v>127</v>
      </c>
      <c r="G554" s="5">
        <v>1020.064</v>
      </c>
    </row>
    <row r="555" spans="1:7">
      <c r="A555" s="4">
        <v>52</v>
      </c>
      <c r="B555" s="4" t="s">
        <v>7</v>
      </c>
      <c r="C555" s="4" t="s">
        <v>15</v>
      </c>
      <c r="D555" s="4" t="s">
        <v>12</v>
      </c>
      <c r="E555" s="4" t="s">
        <v>16</v>
      </c>
      <c r="F555" s="6">
        <v>135</v>
      </c>
      <c r="G555" s="6">
        <v>1053</v>
      </c>
    </row>
    <row r="556" spans="1:7">
      <c r="A556" s="4">
        <v>54</v>
      </c>
      <c r="B556" s="4" t="s">
        <v>7</v>
      </c>
      <c r="C556" s="4" t="s">
        <v>15</v>
      </c>
      <c r="D556" s="4" t="s">
        <v>12</v>
      </c>
      <c r="E556" s="4" t="s">
        <v>16</v>
      </c>
      <c r="F556" s="4">
        <v>136</v>
      </c>
      <c r="G556" s="5">
        <v>1024.08</v>
      </c>
    </row>
    <row r="557" spans="1:7">
      <c r="A557" s="4">
        <v>55</v>
      </c>
      <c r="B557" s="4" t="s">
        <v>7</v>
      </c>
      <c r="C557" s="4" t="s">
        <v>15</v>
      </c>
      <c r="D557" s="4" t="s">
        <v>12</v>
      </c>
      <c r="E557" s="4" t="s">
        <v>16</v>
      </c>
      <c r="F557" s="4">
        <v>143</v>
      </c>
      <c r="G557" s="5">
        <v>861.4319999999999</v>
      </c>
    </row>
    <row r="558" spans="1:7">
      <c r="A558" s="4">
        <v>59</v>
      </c>
      <c r="B558" s="4" t="s">
        <v>7</v>
      </c>
      <c r="C558" s="4" t="s">
        <v>15</v>
      </c>
      <c r="D558" s="4" t="s">
        <v>12</v>
      </c>
      <c r="E558" s="4" t="s">
        <v>16</v>
      </c>
      <c r="F558" s="4">
        <v>153</v>
      </c>
      <c r="G558" s="5">
        <v>1228.896</v>
      </c>
    </row>
    <row r="559" spans="1:7">
      <c r="A559" s="4">
        <v>60</v>
      </c>
      <c r="B559" s="4" t="s">
        <v>7</v>
      </c>
      <c r="C559" s="4" t="s">
        <v>15</v>
      </c>
      <c r="D559" s="4" t="s">
        <v>12</v>
      </c>
      <c r="E559" s="4" t="s">
        <v>16</v>
      </c>
      <c r="F559" s="6">
        <v>156</v>
      </c>
      <c r="G559" s="6">
        <v>1025</v>
      </c>
    </row>
    <row r="560" spans="1:7">
      <c r="A560" s="4">
        <v>63</v>
      </c>
      <c r="B560" s="4" t="s">
        <v>7</v>
      </c>
      <c r="C560" s="4" t="s">
        <v>15</v>
      </c>
      <c r="D560" s="4" t="s">
        <v>12</v>
      </c>
      <c r="E560" s="4" t="s">
        <v>16</v>
      </c>
      <c r="F560" s="4">
        <v>162</v>
      </c>
      <c r="G560" s="5">
        <v>1305</v>
      </c>
    </row>
    <row r="563" spans="1:7">
      <c r="A563" t="s">
        <v>28</v>
      </c>
    </row>
    <row r="564" spans="1:7" ht="20">
      <c r="A564" s="13" t="s">
        <v>29</v>
      </c>
    </row>
    <row r="565" spans="1:7" ht="17">
      <c r="A565" s="14" t="s">
        <v>30</v>
      </c>
      <c r="B565" s="14" t="s">
        <v>6</v>
      </c>
      <c r="C565" s="14"/>
      <c r="D565" s="14"/>
      <c r="E565" s="14"/>
      <c r="F565" s="14"/>
    </row>
    <row r="566" spans="1:7" ht="17">
      <c r="A566" s="14">
        <v>23</v>
      </c>
      <c r="B566" s="14">
        <v>502</v>
      </c>
      <c r="C566" s="14"/>
      <c r="D566" s="14"/>
      <c r="E566" s="14"/>
      <c r="F566" s="14"/>
    </row>
    <row r="567" spans="1:7" ht="17">
      <c r="A567" s="16"/>
    </row>
    <row r="569" spans="1:7" ht="32">
      <c r="A569" s="1" t="s">
        <v>0</v>
      </c>
      <c r="B569" s="8" t="s">
        <v>1</v>
      </c>
      <c r="C569" s="7" t="s">
        <v>2</v>
      </c>
      <c r="D569" s="7" t="s">
        <v>3</v>
      </c>
      <c r="E569" s="9" t="s">
        <v>4</v>
      </c>
      <c r="F569" s="2" t="s">
        <v>5</v>
      </c>
      <c r="G569" s="2" t="s">
        <v>6</v>
      </c>
    </row>
    <row r="570" spans="1:7">
      <c r="A570" s="4">
        <v>2</v>
      </c>
      <c r="B570" s="4" t="s">
        <v>11</v>
      </c>
      <c r="C570" s="6" t="s">
        <v>8</v>
      </c>
      <c r="D570" s="4" t="s">
        <v>12</v>
      </c>
      <c r="E570" s="4" t="s">
        <v>10</v>
      </c>
      <c r="F570" s="6">
        <v>28</v>
      </c>
      <c r="G570" s="6">
        <v>42</v>
      </c>
    </row>
    <row r="571" spans="1:7">
      <c r="A571" s="4">
        <v>3</v>
      </c>
      <c r="B571" s="4" t="s">
        <v>13</v>
      </c>
      <c r="C571" s="6" t="s">
        <v>8</v>
      </c>
      <c r="D571" s="6" t="s">
        <v>14</v>
      </c>
      <c r="E571" s="4" t="s">
        <v>10</v>
      </c>
      <c r="F571" s="6">
        <v>43</v>
      </c>
      <c r="G571" s="6">
        <v>150</v>
      </c>
    </row>
    <row r="572" spans="1:7">
      <c r="A572" s="4">
        <v>4</v>
      </c>
      <c r="B572" s="4" t="s">
        <v>11</v>
      </c>
      <c r="C572" s="6" t="s">
        <v>8</v>
      </c>
      <c r="D572" s="4" t="s">
        <v>12</v>
      </c>
      <c r="E572" s="4" t="s">
        <v>10</v>
      </c>
      <c r="F572" s="6">
        <v>45</v>
      </c>
      <c r="G572" s="6">
        <v>68</v>
      </c>
    </row>
    <row r="573" spans="1:7">
      <c r="A573" s="4">
        <v>7</v>
      </c>
      <c r="B573" s="4" t="s">
        <v>7</v>
      </c>
      <c r="C573" s="4" t="s">
        <v>15</v>
      </c>
      <c r="D573" s="4" t="s">
        <v>12</v>
      </c>
      <c r="E573" s="4" t="s">
        <v>16</v>
      </c>
      <c r="F573" s="4">
        <v>52</v>
      </c>
      <c r="G573" s="5">
        <v>274.09199999999998</v>
      </c>
    </row>
    <row r="574" spans="1:7">
      <c r="A574" s="4">
        <v>8</v>
      </c>
      <c r="B574" s="4" t="s">
        <v>7</v>
      </c>
      <c r="C574" s="4" t="s">
        <v>15</v>
      </c>
      <c r="D574" s="4" t="s">
        <v>12</v>
      </c>
      <c r="E574" s="4" t="s">
        <v>16</v>
      </c>
      <c r="F574" s="4">
        <v>61</v>
      </c>
      <c r="G574" s="5">
        <v>336.84199999999998</v>
      </c>
    </row>
    <row r="575" spans="1:7">
      <c r="A575" s="4">
        <v>9</v>
      </c>
      <c r="B575" s="4" t="s">
        <v>11</v>
      </c>
      <c r="C575" s="6" t="s">
        <v>8</v>
      </c>
      <c r="D575" s="4" t="s">
        <v>12</v>
      </c>
      <c r="E575" s="4" t="s">
        <v>10</v>
      </c>
      <c r="F575" s="6">
        <v>65</v>
      </c>
      <c r="G575" s="6">
        <v>139</v>
      </c>
    </row>
    <row r="576" spans="1:7">
      <c r="A576" s="4">
        <v>10</v>
      </c>
      <c r="B576" s="4" t="s">
        <v>7</v>
      </c>
      <c r="C576" s="4" t="s">
        <v>15</v>
      </c>
      <c r="D576" s="4" t="s">
        <v>12</v>
      </c>
      <c r="E576" s="4" t="s">
        <v>16</v>
      </c>
      <c r="F576" s="4">
        <v>68</v>
      </c>
      <c r="G576" s="5">
        <v>512.04</v>
      </c>
    </row>
    <row r="577" spans="1:8">
      <c r="A577" s="4">
        <v>12</v>
      </c>
      <c r="B577" s="4" t="s">
        <v>7</v>
      </c>
      <c r="C577" s="4" t="s">
        <v>15</v>
      </c>
      <c r="D577" s="4" t="s">
        <v>12</v>
      </c>
      <c r="E577" s="4" t="s">
        <v>16</v>
      </c>
      <c r="F577" s="4">
        <v>70</v>
      </c>
      <c r="G577" s="5">
        <v>379.512</v>
      </c>
    </row>
    <row r="578" spans="1:8">
      <c r="A578" s="4">
        <v>13</v>
      </c>
      <c r="B578" s="4" t="s">
        <v>7</v>
      </c>
      <c r="C578" s="4" t="s">
        <v>15</v>
      </c>
      <c r="D578" s="4" t="s">
        <v>12</v>
      </c>
      <c r="E578" s="4" t="s">
        <v>16</v>
      </c>
      <c r="F578" s="4">
        <v>72</v>
      </c>
      <c r="G578" s="5">
        <v>397.58399999999995</v>
      </c>
    </row>
    <row r="579" spans="1:8">
      <c r="A579" s="4">
        <v>14</v>
      </c>
      <c r="B579" s="4" t="s">
        <v>7</v>
      </c>
      <c r="C579" s="4" t="s">
        <v>15</v>
      </c>
      <c r="D579" s="4" t="s">
        <v>12</v>
      </c>
      <c r="E579" s="4" t="s">
        <v>16</v>
      </c>
      <c r="F579" s="4">
        <v>73</v>
      </c>
      <c r="G579" s="5">
        <v>659.62799999999993</v>
      </c>
    </row>
    <row r="580" spans="1:8">
      <c r="A580" s="4">
        <v>15</v>
      </c>
      <c r="B580" s="4" t="s">
        <v>7</v>
      </c>
      <c r="C580" s="4" t="s">
        <v>15</v>
      </c>
      <c r="D580" s="4" t="s">
        <v>12</v>
      </c>
      <c r="E580" s="4" t="s">
        <v>16</v>
      </c>
      <c r="F580" s="4">
        <v>74</v>
      </c>
      <c r="G580" s="5">
        <v>482.92399999999998</v>
      </c>
    </row>
    <row r="581" spans="1:8">
      <c r="A581" s="4">
        <v>19</v>
      </c>
      <c r="B581" s="4" t="s">
        <v>7</v>
      </c>
      <c r="C581" s="4" t="s">
        <v>15</v>
      </c>
      <c r="D581" s="4" t="s">
        <v>12</v>
      </c>
      <c r="E581" s="4" t="s">
        <v>16</v>
      </c>
      <c r="F581" s="4">
        <v>79</v>
      </c>
      <c r="G581" s="5">
        <v>475.89599999999996</v>
      </c>
    </row>
    <row r="582" spans="1:8">
      <c r="A582" s="4">
        <v>23</v>
      </c>
      <c r="B582" s="4" t="s">
        <v>7</v>
      </c>
      <c r="C582" s="4" t="s">
        <v>15</v>
      </c>
      <c r="D582" s="4" t="s">
        <v>12</v>
      </c>
      <c r="E582" s="4" t="s">
        <v>16</v>
      </c>
      <c r="F582" s="4">
        <v>81</v>
      </c>
      <c r="G582" s="5">
        <v>691.25399999999991</v>
      </c>
    </row>
    <row r="583" spans="1:8">
      <c r="A583" s="4">
        <v>24</v>
      </c>
      <c r="B583" s="4" t="s">
        <v>7</v>
      </c>
      <c r="C583" s="4" t="s">
        <v>15</v>
      </c>
      <c r="D583" s="4" t="s">
        <v>12</v>
      </c>
      <c r="E583" s="4" t="s">
        <v>16</v>
      </c>
      <c r="F583" s="4">
        <v>83</v>
      </c>
      <c r="G583" s="5">
        <v>466.6592</v>
      </c>
    </row>
    <row r="584" spans="1:8">
      <c r="A584" s="4">
        <v>26</v>
      </c>
      <c r="B584" s="4" t="s">
        <v>7</v>
      </c>
      <c r="C584" s="4" t="s">
        <v>15</v>
      </c>
      <c r="D584" s="4" t="s">
        <v>12</v>
      </c>
      <c r="E584" s="4" t="s">
        <v>16</v>
      </c>
      <c r="F584" s="4">
        <v>84</v>
      </c>
      <c r="G584" s="5">
        <v>421.67999999999995</v>
      </c>
    </row>
    <row r="585" spans="1:8">
      <c r="A585" s="4">
        <v>27</v>
      </c>
      <c r="B585" s="4" t="s">
        <v>7</v>
      </c>
      <c r="C585" s="4" t="s">
        <v>15</v>
      </c>
      <c r="D585" s="4" t="s">
        <v>12</v>
      </c>
      <c r="E585" s="4" t="s">
        <v>16</v>
      </c>
      <c r="F585" s="4">
        <v>85</v>
      </c>
      <c r="G585" s="5">
        <v>725.39</v>
      </c>
    </row>
    <row r="586" spans="1:8">
      <c r="A586" s="4">
        <v>30</v>
      </c>
      <c r="B586" s="4" t="s">
        <v>7</v>
      </c>
      <c r="C586" s="4" t="s">
        <v>15</v>
      </c>
      <c r="D586" s="4" t="s">
        <v>12</v>
      </c>
      <c r="E586" s="4" t="s">
        <v>16</v>
      </c>
      <c r="F586" s="4">
        <v>90</v>
      </c>
      <c r="G586" s="5">
        <v>406.61999999999995</v>
      </c>
    </row>
    <row r="587" spans="1:8">
      <c r="A587" s="4">
        <v>32</v>
      </c>
      <c r="B587" s="4" t="s">
        <v>7</v>
      </c>
      <c r="C587" s="4" t="s">
        <v>15</v>
      </c>
      <c r="D587" s="4" t="s">
        <v>12</v>
      </c>
      <c r="E587" s="4" t="s">
        <v>16</v>
      </c>
      <c r="F587" s="4">
        <v>92</v>
      </c>
      <c r="G587" s="5">
        <v>831.31200000000001</v>
      </c>
    </row>
    <row r="588" spans="1:8">
      <c r="A588" s="4">
        <v>33</v>
      </c>
      <c r="B588" s="4" t="s">
        <v>7</v>
      </c>
      <c r="C588" s="4" t="s">
        <v>15</v>
      </c>
      <c r="D588" s="4" t="s">
        <v>12</v>
      </c>
      <c r="E588" s="4" t="s">
        <v>16</v>
      </c>
      <c r="F588" s="4">
        <v>100</v>
      </c>
      <c r="G588" s="5">
        <v>702.79999999999984</v>
      </c>
    </row>
    <row r="589" spans="1:8">
      <c r="A589" s="4">
        <v>35</v>
      </c>
      <c r="B589" s="4" t="s">
        <v>7</v>
      </c>
      <c r="C589" s="4" t="s">
        <v>15</v>
      </c>
      <c r="D589" s="4" t="s">
        <v>12</v>
      </c>
      <c r="E589" s="4" t="s">
        <v>16</v>
      </c>
      <c r="F589" s="4">
        <v>102</v>
      </c>
      <c r="G589" s="5">
        <v>921.67199999999991</v>
      </c>
    </row>
    <row r="590" spans="1:8">
      <c r="A590" s="4">
        <v>37</v>
      </c>
      <c r="B590" s="4" t="s">
        <v>7</v>
      </c>
      <c r="C590" s="4" t="s">
        <v>15</v>
      </c>
      <c r="D590" s="4" t="s">
        <v>12</v>
      </c>
      <c r="E590" s="4" t="s">
        <v>16</v>
      </c>
      <c r="F590" s="4">
        <v>108</v>
      </c>
      <c r="G590" s="5">
        <v>650.59199999999998</v>
      </c>
    </row>
    <row r="591" spans="1:8">
      <c r="A591" s="4">
        <v>39</v>
      </c>
      <c r="B591" s="4" t="s">
        <v>7</v>
      </c>
      <c r="C591" s="4" t="s">
        <v>17</v>
      </c>
      <c r="D591" s="4" t="s">
        <v>12</v>
      </c>
      <c r="E591" s="4" t="s">
        <v>16</v>
      </c>
      <c r="F591" s="6">
        <v>110</v>
      </c>
      <c r="G591" s="6">
        <v>884</v>
      </c>
    </row>
    <row r="592" spans="1:8">
      <c r="A592" s="4">
        <v>40</v>
      </c>
      <c r="B592" s="4" t="s">
        <v>7</v>
      </c>
      <c r="C592" s="4" t="s">
        <v>15</v>
      </c>
      <c r="D592" s="4" t="s">
        <v>12</v>
      </c>
      <c r="E592" s="4" t="s">
        <v>16</v>
      </c>
      <c r="F592" s="4">
        <v>114</v>
      </c>
      <c r="G592" s="5">
        <v>502</v>
      </c>
      <c r="H592" s="21" t="s">
        <v>31</v>
      </c>
    </row>
    <row r="593" spans="1:7">
      <c r="A593" s="4">
        <v>43</v>
      </c>
      <c r="B593" s="4" t="s">
        <v>7</v>
      </c>
      <c r="C593" s="4" t="s">
        <v>15</v>
      </c>
      <c r="D593" s="4" t="s">
        <v>12</v>
      </c>
      <c r="E593" s="4" t="s">
        <v>16</v>
      </c>
      <c r="F593" s="4">
        <v>115</v>
      </c>
      <c r="G593" s="5">
        <v>692.75999999999988</v>
      </c>
    </row>
    <row r="594" spans="1:7">
      <c r="A594" s="4">
        <v>45</v>
      </c>
      <c r="B594" s="4" t="s">
        <v>7</v>
      </c>
      <c r="C594" s="4" t="s">
        <v>15</v>
      </c>
      <c r="D594" s="4" t="s">
        <v>12</v>
      </c>
      <c r="E594" s="4" t="s">
        <v>16</v>
      </c>
      <c r="F594" s="4">
        <v>117</v>
      </c>
      <c r="G594" s="5">
        <v>728.30159999999989</v>
      </c>
    </row>
    <row r="595" spans="1:7">
      <c r="A595" s="4">
        <v>46</v>
      </c>
      <c r="B595" s="4" t="s">
        <v>7</v>
      </c>
      <c r="C595" s="4" t="s">
        <v>15</v>
      </c>
      <c r="D595" s="4" t="s">
        <v>12</v>
      </c>
      <c r="E595" s="4" t="s">
        <v>16</v>
      </c>
      <c r="F595" s="4">
        <v>117</v>
      </c>
      <c r="G595" s="5">
        <v>998.47799999999984</v>
      </c>
    </row>
    <row r="596" spans="1:7">
      <c r="A596" s="4">
        <v>48</v>
      </c>
      <c r="B596" s="4" t="s">
        <v>7</v>
      </c>
      <c r="C596" s="4" t="s">
        <v>17</v>
      </c>
      <c r="D596" s="4" t="s">
        <v>12</v>
      </c>
      <c r="E596" s="4" t="s">
        <v>16</v>
      </c>
      <c r="F596" s="6">
        <v>122</v>
      </c>
      <c r="G596" s="6">
        <v>1045</v>
      </c>
    </row>
    <row r="597" spans="1:7">
      <c r="A597" s="4">
        <v>49</v>
      </c>
      <c r="B597" s="4" t="s">
        <v>7</v>
      </c>
      <c r="C597" s="4" t="s">
        <v>15</v>
      </c>
      <c r="D597" s="4" t="s">
        <v>12</v>
      </c>
      <c r="E597" s="4" t="s">
        <v>16</v>
      </c>
      <c r="F597" s="4">
        <v>125</v>
      </c>
      <c r="G597" s="5">
        <v>1004</v>
      </c>
    </row>
    <row r="598" spans="1:7">
      <c r="A598" s="4">
        <v>51</v>
      </c>
      <c r="B598" s="4" t="s">
        <v>7</v>
      </c>
      <c r="C598" s="4" t="s">
        <v>15</v>
      </c>
      <c r="D598" s="4" t="s">
        <v>12</v>
      </c>
      <c r="E598" s="4" t="s">
        <v>16</v>
      </c>
      <c r="F598" s="4">
        <v>127</v>
      </c>
      <c r="G598" s="5">
        <v>1020.064</v>
      </c>
    </row>
    <row r="599" spans="1:7">
      <c r="A599" s="4">
        <v>52</v>
      </c>
      <c r="B599" s="4" t="s">
        <v>7</v>
      </c>
      <c r="C599" s="4" t="s">
        <v>15</v>
      </c>
      <c r="D599" s="4" t="s">
        <v>12</v>
      </c>
      <c r="E599" s="4" t="s">
        <v>16</v>
      </c>
      <c r="F599" s="6">
        <v>135</v>
      </c>
      <c r="G599" s="6">
        <v>1053</v>
      </c>
    </row>
    <row r="600" spans="1:7">
      <c r="A600" s="4">
        <v>54</v>
      </c>
      <c r="B600" s="4" t="s">
        <v>7</v>
      </c>
      <c r="C600" s="4" t="s">
        <v>15</v>
      </c>
      <c r="D600" s="4" t="s">
        <v>12</v>
      </c>
      <c r="E600" s="4" t="s">
        <v>16</v>
      </c>
      <c r="F600" s="4">
        <v>136</v>
      </c>
      <c r="G600" s="5">
        <v>1024.08</v>
      </c>
    </row>
    <row r="601" spans="1:7">
      <c r="A601" s="4">
        <v>55</v>
      </c>
      <c r="B601" s="4" t="s">
        <v>7</v>
      </c>
      <c r="C601" s="4" t="s">
        <v>15</v>
      </c>
      <c r="D601" s="4" t="s">
        <v>12</v>
      </c>
      <c r="E601" s="4" t="s">
        <v>16</v>
      </c>
      <c r="F601" s="4">
        <v>143</v>
      </c>
      <c r="G601" s="5">
        <v>861.4319999999999</v>
      </c>
    </row>
    <row r="602" spans="1:7">
      <c r="A602" s="4">
        <v>59</v>
      </c>
      <c r="B602" s="4" t="s">
        <v>7</v>
      </c>
      <c r="C602" s="4" t="s">
        <v>15</v>
      </c>
      <c r="D602" s="4" t="s">
        <v>12</v>
      </c>
      <c r="E602" s="4" t="s">
        <v>16</v>
      </c>
      <c r="F602" s="4">
        <v>153</v>
      </c>
      <c r="G602" s="5">
        <v>1228.896</v>
      </c>
    </row>
    <row r="603" spans="1:7">
      <c r="A603" s="4">
        <v>60</v>
      </c>
      <c r="B603" s="4" t="s">
        <v>7</v>
      </c>
      <c r="C603" s="4" t="s">
        <v>15</v>
      </c>
      <c r="D603" s="4" t="s">
        <v>12</v>
      </c>
      <c r="E603" s="4" t="s">
        <v>16</v>
      </c>
      <c r="F603" s="6">
        <v>156</v>
      </c>
      <c r="G603" s="6">
        <v>1025</v>
      </c>
    </row>
    <row r="604" spans="1:7">
      <c r="A604" s="4">
        <v>63</v>
      </c>
      <c r="B604" s="4" t="s">
        <v>7</v>
      </c>
      <c r="C604" s="4" t="s">
        <v>15</v>
      </c>
      <c r="D604" s="4" t="s">
        <v>12</v>
      </c>
      <c r="E604" s="4" t="s">
        <v>16</v>
      </c>
      <c r="F604" s="4">
        <v>162</v>
      </c>
      <c r="G604" s="5">
        <v>1305</v>
      </c>
    </row>
    <row r="607" spans="1:7" ht="32">
      <c r="A607" s="1" t="s">
        <v>0</v>
      </c>
      <c r="B607" s="8" t="s">
        <v>1</v>
      </c>
      <c r="C607" s="7" t="s">
        <v>2</v>
      </c>
      <c r="D607" s="7" t="s">
        <v>3</v>
      </c>
      <c r="E607" s="9" t="s">
        <v>4</v>
      </c>
      <c r="F607" s="2" t="s">
        <v>5</v>
      </c>
      <c r="G607" s="2" t="s">
        <v>6</v>
      </c>
    </row>
    <row r="608" spans="1:7">
      <c r="A608" s="4">
        <v>2</v>
      </c>
      <c r="B608" s="4" t="s">
        <v>11</v>
      </c>
      <c r="C608" s="6" t="s">
        <v>8</v>
      </c>
      <c r="D608" s="4" t="s">
        <v>12</v>
      </c>
      <c r="E608" s="4" t="s">
        <v>10</v>
      </c>
      <c r="F608" s="6">
        <v>28</v>
      </c>
      <c r="G608" s="6">
        <v>42</v>
      </c>
    </row>
    <row r="609" spans="1:7">
      <c r="A609" s="4">
        <v>3</v>
      </c>
      <c r="B609" s="4" t="s">
        <v>13</v>
      </c>
      <c r="C609" s="6" t="s">
        <v>8</v>
      </c>
      <c r="D609" s="6" t="s">
        <v>14</v>
      </c>
      <c r="E609" s="4" t="s">
        <v>10</v>
      </c>
      <c r="F609" s="6">
        <v>43</v>
      </c>
      <c r="G609" s="6">
        <v>150</v>
      </c>
    </row>
    <row r="610" spans="1:7">
      <c r="A610" s="4">
        <v>4</v>
      </c>
      <c r="B610" s="4" t="s">
        <v>11</v>
      </c>
      <c r="C610" s="6" t="s">
        <v>8</v>
      </c>
      <c r="D610" s="4" t="s">
        <v>12</v>
      </c>
      <c r="E610" s="4" t="s">
        <v>10</v>
      </c>
      <c r="F610" s="6">
        <v>45</v>
      </c>
      <c r="G610" s="6">
        <v>68</v>
      </c>
    </row>
    <row r="611" spans="1:7">
      <c r="A611" s="4">
        <v>7</v>
      </c>
      <c r="B611" s="4" t="s">
        <v>7</v>
      </c>
      <c r="C611" s="4" t="s">
        <v>15</v>
      </c>
      <c r="D611" s="4" t="s">
        <v>12</v>
      </c>
      <c r="E611" s="4" t="s">
        <v>16</v>
      </c>
      <c r="F611" s="4">
        <v>52</v>
      </c>
      <c r="G611" s="5">
        <v>274.09199999999998</v>
      </c>
    </row>
    <row r="612" spans="1:7">
      <c r="A612" s="4">
        <v>8</v>
      </c>
      <c r="B612" s="4" t="s">
        <v>7</v>
      </c>
      <c r="C612" s="4" t="s">
        <v>15</v>
      </c>
      <c r="D612" s="4" t="s">
        <v>12</v>
      </c>
      <c r="E612" s="4" t="s">
        <v>16</v>
      </c>
      <c r="F612" s="4">
        <v>61</v>
      </c>
      <c r="G612" s="5">
        <v>336.84199999999998</v>
      </c>
    </row>
    <row r="613" spans="1:7">
      <c r="A613" s="4">
        <v>9</v>
      </c>
      <c r="B613" s="4" t="s">
        <v>11</v>
      </c>
      <c r="C613" s="6" t="s">
        <v>8</v>
      </c>
      <c r="D613" s="4" t="s">
        <v>12</v>
      </c>
      <c r="E613" s="4" t="s">
        <v>10</v>
      </c>
      <c r="F613" s="6">
        <v>65</v>
      </c>
      <c r="G613" s="6">
        <v>139</v>
      </c>
    </row>
    <row r="614" spans="1:7">
      <c r="A614" s="4">
        <v>10</v>
      </c>
      <c r="B614" s="4" t="s">
        <v>7</v>
      </c>
      <c r="C614" s="4" t="s">
        <v>15</v>
      </c>
      <c r="D614" s="4" t="s">
        <v>12</v>
      </c>
      <c r="E614" s="4" t="s">
        <v>16</v>
      </c>
      <c r="F614" s="4">
        <v>68</v>
      </c>
      <c r="G614" s="5">
        <v>512.04</v>
      </c>
    </row>
    <row r="615" spans="1:7">
      <c r="A615" s="4">
        <v>12</v>
      </c>
      <c r="B615" s="4" t="s">
        <v>7</v>
      </c>
      <c r="C615" s="4" t="s">
        <v>15</v>
      </c>
      <c r="D615" s="4" t="s">
        <v>12</v>
      </c>
      <c r="E615" s="4" t="s">
        <v>16</v>
      </c>
      <c r="F615" s="4">
        <v>70</v>
      </c>
      <c r="G615" s="5">
        <v>379.512</v>
      </c>
    </row>
    <row r="616" spans="1:7">
      <c r="A616" s="4">
        <v>13</v>
      </c>
      <c r="B616" s="4" t="s">
        <v>7</v>
      </c>
      <c r="C616" s="4" t="s">
        <v>15</v>
      </c>
      <c r="D616" s="4" t="s">
        <v>12</v>
      </c>
      <c r="E616" s="4" t="s">
        <v>16</v>
      </c>
      <c r="F616" s="4">
        <v>72</v>
      </c>
      <c r="G616" s="5">
        <v>397.58399999999995</v>
      </c>
    </row>
    <row r="617" spans="1:7">
      <c r="A617" s="4">
        <v>14</v>
      </c>
      <c r="B617" s="4" t="s">
        <v>7</v>
      </c>
      <c r="C617" s="4" t="s">
        <v>15</v>
      </c>
      <c r="D617" s="4" t="s">
        <v>12</v>
      </c>
      <c r="E617" s="4" t="s">
        <v>16</v>
      </c>
      <c r="F617" s="4">
        <v>73</v>
      </c>
      <c r="G617" s="5">
        <v>659.62799999999993</v>
      </c>
    </row>
    <row r="618" spans="1:7">
      <c r="A618" s="4">
        <v>15</v>
      </c>
      <c r="B618" s="4" t="s">
        <v>7</v>
      </c>
      <c r="C618" s="4" t="s">
        <v>15</v>
      </c>
      <c r="D618" s="4" t="s">
        <v>12</v>
      </c>
      <c r="E618" s="4" t="s">
        <v>16</v>
      </c>
      <c r="F618" s="4">
        <v>74</v>
      </c>
      <c r="G618" s="5">
        <v>482.92399999999998</v>
      </c>
    </row>
    <row r="619" spans="1:7">
      <c r="A619" s="4">
        <v>19</v>
      </c>
      <c r="B619" s="4" t="s">
        <v>7</v>
      </c>
      <c r="C619" s="4" t="s">
        <v>15</v>
      </c>
      <c r="D619" s="4" t="s">
        <v>12</v>
      </c>
      <c r="E619" s="4" t="s">
        <v>16</v>
      </c>
      <c r="F619" s="4">
        <v>79</v>
      </c>
      <c r="G619" s="5">
        <v>475.89599999999996</v>
      </c>
    </row>
    <row r="620" spans="1:7">
      <c r="A620" s="4">
        <v>23</v>
      </c>
      <c r="B620" s="4" t="s">
        <v>7</v>
      </c>
      <c r="C620" s="4" t="s">
        <v>15</v>
      </c>
      <c r="D620" s="4" t="s">
        <v>12</v>
      </c>
      <c r="E620" s="4" t="s">
        <v>16</v>
      </c>
      <c r="F620" s="4">
        <v>81</v>
      </c>
      <c r="G620" s="5">
        <v>691.25399999999991</v>
      </c>
    </row>
    <row r="621" spans="1:7">
      <c r="A621" s="4">
        <v>24</v>
      </c>
      <c r="B621" s="4" t="s">
        <v>7</v>
      </c>
      <c r="C621" s="4" t="s">
        <v>15</v>
      </c>
      <c r="D621" s="4" t="s">
        <v>12</v>
      </c>
      <c r="E621" s="4" t="s">
        <v>16</v>
      </c>
      <c r="F621" s="4">
        <v>83</v>
      </c>
      <c r="G621" s="5">
        <v>466.6592</v>
      </c>
    </row>
    <row r="622" spans="1:7">
      <c r="A622" s="4">
        <v>26</v>
      </c>
      <c r="B622" s="4" t="s">
        <v>7</v>
      </c>
      <c r="C622" s="4" t="s">
        <v>15</v>
      </c>
      <c r="D622" s="4" t="s">
        <v>12</v>
      </c>
      <c r="E622" s="4" t="s">
        <v>16</v>
      </c>
      <c r="F622" s="4">
        <v>84</v>
      </c>
      <c r="G622" s="5">
        <v>421.67999999999995</v>
      </c>
    </row>
    <row r="623" spans="1:7">
      <c r="A623" s="4">
        <v>27</v>
      </c>
      <c r="B623" s="4" t="s">
        <v>7</v>
      </c>
      <c r="C623" s="4" t="s">
        <v>15</v>
      </c>
      <c r="D623" s="4" t="s">
        <v>12</v>
      </c>
      <c r="E623" s="4" t="s">
        <v>16</v>
      </c>
      <c r="F623" s="4">
        <v>85</v>
      </c>
      <c r="G623" s="5">
        <v>725.39</v>
      </c>
    </row>
    <row r="624" spans="1:7">
      <c r="A624" s="4">
        <v>30</v>
      </c>
      <c r="B624" s="4" t="s">
        <v>7</v>
      </c>
      <c r="C624" s="4" t="s">
        <v>15</v>
      </c>
      <c r="D624" s="4" t="s">
        <v>12</v>
      </c>
      <c r="E624" s="4" t="s">
        <v>16</v>
      </c>
      <c r="F624" s="4">
        <v>90</v>
      </c>
      <c r="G624" s="5">
        <v>406.61999999999995</v>
      </c>
    </row>
    <row r="625" spans="1:7">
      <c r="A625" s="4">
        <v>32</v>
      </c>
      <c r="B625" s="4" t="s">
        <v>7</v>
      </c>
      <c r="C625" s="4" t="s">
        <v>15</v>
      </c>
      <c r="D625" s="4" t="s">
        <v>12</v>
      </c>
      <c r="E625" s="4" t="s">
        <v>16</v>
      </c>
      <c r="F625" s="4">
        <v>92</v>
      </c>
      <c r="G625" s="5">
        <v>831.31200000000001</v>
      </c>
    </row>
    <row r="626" spans="1:7">
      <c r="A626" s="4">
        <v>33</v>
      </c>
      <c r="B626" s="4" t="s">
        <v>7</v>
      </c>
      <c r="C626" s="4" t="s">
        <v>15</v>
      </c>
      <c r="D626" s="4" t="s">
        <v>12</v>
      </c>
      <c r="E626" s="4" t="s">
        <v>16</v>
      </c>
      <c r="F626" s="4">
        <v>100</v>
      </c>
      <c r="G626" s="5">
        <v>702.79999999999984</v>
      </c>
    </row>
    <row r="627" spans="1:7">
      <c r="A627" s="4">
        <v>35</v>
      </c>
      <c r="B627" s="4" t="s">
        <v>7</v>
      </c>
      <c r="C627" s="4" t="s">
        <v>15</v>
      </c>
      <c r="D627" s="4" t="s">
        <v>12</v>
      </c>
      <c r="E627" s="4" t="s">
        <v>16</v>
      </c>
      <c r="F627" s="4">
        <v>102</v>
      </c>
      <c r="G627" s="5">
        <v>921.67199999999991</v>
      </c>
    </row>
    <row r="628" spans="1:7">
      <c r="A628" s="4">
        <v>37</v>
      </c>
      <c r="B628" s="4" t="s">
        <v>7</v>
      </c>
      <c r="C628" s="4" t="s">
        <v>15</v>
      </c>
      <c r="D628" s="4" t="s">
        <v>12</v>
      </c>
      <c r="E628" s="4" t="s">
        <v>16</v>
      </c>
      <c r="F628" s="4">
        <v>108</v>
      </c>
      <c r="G628" s="5">
        <v>650.59199999999998</v>
      </c>
    </row>
    <row r="629" spans="1:7">
      <c r="A629" s="4">
        <v>39</v>
      </c>
      <c r="B629" s="4" t="s">
        <v>7</v>
      </c>
      <c r="C629" s="4" t="s">
        <v>17</v>
      </c>
      <c r="D629" s="4" t="s">
        <v>12</v>
      </c>
      <c r="E629" s="4" t="s">
        <v>16</v>
      </c>
      <c r="F629" s="6">
        <v>110</v>
      </c>
      <c r="G629" s="6">
        <v>884</v>
      </c>
    </row>
    <row r="630" spans="1:7">
      <c r="A630" s="4">
        <v>43</v>
      </c>
      <c r="B630" s="4" t="s">
        <v>7</v>
      </c>
      <c r="C630" s="4" t="s">
        <v>15</v>
      </c>
      <c r="D630" s="4" t="s">
        <v>12</v>
      </c>
      <c r="E630" s="4" t="s">
        <v>16</v>
      </c>
      <c r="F630" s="4">
        <v>115</v>
      </c>
      <c r="G630" s="5">
        <v>692.75999999999988</v>
      </c>
    </row>
    <row r="631" spans="1:7">
      <c r="A631" s="4">
        <v>45</v>
      </c>
      <c r="B631" s="4" t="s">
        <v>7</v>
      </c>
      <c r="C631" s="4" t="s">
        <v>15</v>
      </c>
      <c r="D631" s="4" t="s">
        <v>12</v>
      </c>
      <c r="E631" s="4" t="s">
        <v>16</v>
      </c>
      <c r="F631" s="4">
        <v>117</v>
      </c>
      <c r="G631" s="5">
        <v>728.30159999999989</v>
      </c>
    </row>
    <row r="632" spans="1:7">
      <c r="A632" s="4">
        <v>46</v>
      </c>
      <c r="B632" s="4" t="s">
        <v>7</v>
      </c>
      <c r="C632" s="4" t="s">
        <v>15</v>
      </c>
      <c r="D632" s="4" t="s">
        <v>12</v>
      </c>
      <c r="E632" s="4" t="s">
        <v>16</v>
      </c>
      <c r="F632" s="4">
        <v>117</v>
      </c>
      <c r="G632" s="5">
        <v>998.47799999999984</v>
      </c>
    </row>
    <row r="633" spans="1:7">
      <c r="A633" s="4">
        <v>48</v>
      </c>
      <c r="B633" s="4" t="s">
        <v>7</v>
      </c>
      <c r="C633" s="4" t="s">
        <v>17</v>
      </c>
      <c r="D633" s="4" t="s">
        <v>12</v>
      </c>
      <c r="E633" s="4" t="s">
        <v>16</v>
      </c>
      <c r="F633" s="6">
        <v>122</v>
      </c>
      <c r="G633" s="6">
        <v>1045</v>
      </c>
    </row>
    <row r="634" spans="1:7">
      <c r="A634" s="4">
        <v>49</v>
      </c>
      <c r="B634" s="4" t="s">
        <v>7</v>
      </c>
      <c r="C634" s="4" t="s">
        <v>15</v>
      </c>
      <c r="D634" s="4" t="s">
        <v>12</v>
      </c>
      <c r="E634" s="4" t="s">
        <v>16</v>
      </c>
      <c r="F634" s="4">
        <v>125</v>
      </c>
      <c r="G634" s="5">
        <v>1004</v>
      </c>
    </row>
    <row r="635" spans="1:7">
      <c r="A635" s="4">
        <v>51</v>
      </c>
      <c r="B635" s="4" t="s">
        <v>7</v>
      </c>
      <c r="C635" s="4" t="s">
        <v>15</v>
      </c>
      <c r="D635" s="4" t="s">
        <v>12</v>
      </c>
      <c r="E635" s="4" t="s">
        <v>16</v>
      </c>
      <c r="F635" s="4">
        <v>127</v>
      </c>
      <c r="G635" s="5">
        <v>1020.064</v>
      </c>
    </row>
    <row r="636" spans="1:7">
      <c r="A636" s="4">
        <v>52</v>
      </c>
      <c r="B636" s="4" t="s">
        <v>7</v>
      </c>
      <c r="C636" s="4" t="s">
        <v>15</v>
      </c>
      <c r="D636" s="4" t="s">
        <v>12</v>
      </c>
      <c r="E636" s="4" t="s">
        <v>16</v>
      </c>
      <c r="F636" s="6">
        <v>135</v>
      </c>
      <c r="G636" s="6">
        <v>1053</v>
      </c>
    </row>
    <row r="637" spans="1:7">
      <c r="A637" s="4">
        <v>54</v>
      </c>
      <c r="B637" s="4" t="s">
        <v>7</v>
      </c>
      <c r="C637" s="4" t="s">
        <v>15</v>
      </c>
      <c r="D637" s="4" t="s">
        <v>12</v>
      </c>
      <c r="E637" s="4" t="s">
        <v>16</v>
      </c>
      <c r="F637" s="4">
        <v>136</v>
      </c>
      <c r="G637" s="5">
        <v>1024.08</v>
      </c>
    </row>
    <row r="638" spans="1:7">
      <c r="A638" s="4">
        <v>55</v>
      </c>
      <c r="B638" s="4" t="s">
        <v>7</v>
      </c>
      <c r="C638" s="4" t="s">
        <v>15</v>
      </c>
      <c r="D638" s="4" t="s">
        <v>12</v>
      </c>
      <c r="E638" s="4" t="s">
        <v>16</v>
      </c>
      <c r="F638" s="4">
        <v>143</v>
      </c>
      <c r="G638" s="5">
        <v>861.4319999999999</v>
      </c>
    </row>
    <row r="639" spans="1:7">
      <c r="A639" s="4">
        <v>59</v>
      </c>
      <c r="B639" s="4" t="s">
        <v>7</v>
      </c>
      <c r="C639" s="4" t="s">
        <v>15</v>
      </c>
      <c r="D639" s="4" t="s">
        <v>12</v>
      </c>
      <c r="E639" s="4" t="s">
        <v>16</v>
      </c>
      <c r="F639" s="4">
        <v>153</v>
      </c>
      <c r="G639" s="5">
        <v>1228.896</v>
      </c>
    </row>
    <row r="640" spans="1:7">
      <c r="A640" s="4">
        <v>60</v>
      </c>
      <c r="B640" s="4" t="s">
        <v>7</v>
      </c>
      <c r="C640" s="4" t="s">
        <v>15</v>
      </c>
      <c r="D640" s="4" t="s">
        <v>12</v>
      </c>
      <c r="E640" s="4" t="s">
        <v>16</v>
      </c>
      <c r="F640" s="6">
        <v>156</v>
      </c>
      <c r="G640" s="6">
        <v>1025</v>
      </c>
    </row>
    <row r="641" spans="1:7">
      <c r="A641" s="4">
        <v>63</v>
      </c>
      <c r="B641" s="4" t="s">
        <v>7</v>
      </c>
      <c r="C641" s="4" t="s">
        <v>15</v>
      </c>
      <c r="D641" s="4" t="s">
        <v>12</v>
      </c>
      <c r="E641" s="4" t="s">
        <v>16</v>
      </c>
      <c r="F641" s="4">
        <v>162</v>
      </c>
      <c r="G641" s="5">
        <v>1305</v>
      </c>
    </row>
    <row r="644" spans="1:7">
      <c r="A644" t="s">
        <v>28</v>
      </c>
    </row>
    <row r="645" spans="1:7">
      <c r="A645" t="s">
        <v>31</v>
      </c>
      <c r="B645" t="s">
        <v>32</v>
      </c>
    </row>
    <row r="646" spans="1:7" ht="20">
      <c r="A646" s="10" t="s">
        <v>33</v>
      </c>
      <c r="D646" s="10" t="s">
        <v>33</v>
      </c>
    </row>
    <row r="647" spans="1:7" ht="20">
      <c r="A647" s="33">
        <v>34</v>
      </c>
      <c r="D647" s="33">
        <v>34</v>
      </c>
    </row>
    <row r="648" spans="1:7" ht="20">
      <c r="A648" s="10" t="s">
        <v>45</v>
      </c>
      <c r="D648" s="10" t="s">
        <v>45</v>
      </c>
    </row>
    <row r="649" spans="1:7" ht="20">
      <c r="A649" s="10">
        <v>1</v>
      </c>
      <c r="D649" s="10">
        <v>1</v>
      </c>
    </row>
    <row r="650" spans="1:7" ht="20">
      <c r="A650" s="10" t="s">
        <v>34</v>
      </c>
      <c r="D650" s="10" t="s">
        <v>34</v>
      </c>
    </row>
    <row r="651" spans="1:7" ht="20">
      <c r="A651" s="10" t="s">
        <v>0</v>
      </c>
      <c r="D651" s="10" t="s">
        <v>0</v>
      </c>
    </row>
    <row r="652" spans="1:7" ht="20">
      <c r="A652" s="10"/>
      <c r="D652" s="10"/>
    </row>
    <row r="654" spans="1:7">
      <c r="A654" t="s">
        <v>35</v>
      </c>
    </row>
    <row r="669" spans="1:2" ht="20">
      <c r="A669" s="13" t="s">
        <v>36</v>
      </c>
    </row>
    <row r="670" spans="1:2" ht="17">
      <c r="A670" s="14" t="s">
        <v>37</v>
      </c>
      <c r="B670" s="14"/>
    </row>
    <row r="671" spans="1:2" ht="17">
      <c r="A671" s="15">
        <v>0.85219999999999996</v>
      </c>
      <c r="B671" s="15"/>
    </row>
    <row r="673" spans="1:11" ht="20">
      <c r="A673" s="13" t="s">
        <v>38</v>
      </c>
    </row>
    <row r="674" spans="1:11" ht="17">
      <c r="A674" s="14" t="s">
        <v>54</v>
      </c>
    </row>
    <row r="677" spans="1:11">
      <c r="A677" t="s">
        <v>40</v>
      </c>
    </row>
    <row r="678" spans="1:11" ht="32">
      <c r="A678" s="1" t="s">
        <v>0</v>
      </c>
      <c r="B678" s="8" t="s">
        <v>1</v>
      </c>
      <c r="C678" s="7" t="s">
        <v>2</v>
      </c>
      <c r="D678" s="7" t="s">
        <v>3</v>
      </c>
      <c r="E678" s="9" t="s">
        <v>4</v>
      </c>
      <c r="F678" s="2" t="s">
        <v>5</v>
      </c>
      <c r="G678" s="2" t="s">
        <v>6</v>
      </c>
      <c r="H678" s="2" t="s">
        <v>41</v>
      </c>
      <c r="I678" s="2" t="s">
        <v>42</v>
      </c>
      <c r="J678" s="2" t="s">
        <v>43</v>
      </c>
      <c r="K678" s="2" t="s">
        <v>40</v>
      </c>
    </row>
    <row r="679" spans="1:11">
      <c r="A679" s="4">
        <v>2</v>
      </c>
      <c r="B679" s="4" t="s">
        <v>11</v>
      </c>
      <c r="C679" s="6" t="s">
        <v>8</v>
      </c>
      <c r="D679" s="4" t="s">
        <v>12</v>
      </c>
      <c r="E679" s="4" t="s">
        <v>10</v>
      </c>
      <c r="F679" s="6">
        <v>28</v>
      </c>
      <c r="G679" s="6">
        <v>42</v>
      </c>
      <c r="H679" s="17">
        <f>-213.98+9.1299*F679</f>
        <v>41.657199999999989</v>
      </c>
      <c r="I679" s="18">
        <f>(H679-G679)/G679</f>
        <v>-8.1619047619050263E-3</v>
      </c>
      <c r="J679" s="18">
        <f>ABS(I679)</f>
        <v>8.1619047619050263E-3</v>
      </c>
      <c r="K679" s="18">
        <f>AVERAGE(J679:J712)</f>
        <v>0.24479226420137809</v>
      </c>
    </row>
    <row r="680" spans="1:11">
      <c r="A680" s="4">
        <v>3</v>
      </c>
      <c r="B680" s="4" t="s">
        <v>13</v>
      </c>
      <c r="C680" s="6" t="s">
        <v>8</v>
      </c>
      <c r="D680" s="6" t="s">
        <v>14</v>
      </c>
      <c r="E680" s="4" t="s">
        <v>10</v>
      </c>
      <c r="F680" s="6">
        <v>43</v>
      </c>
      <c r="G680" s="6">
        <v>150</v>
      </c>
      <c r="H680" s="17">
        <f t="shared" ref="H680:H712" si="0">-213.98+9.1299*F680</f>
        <v>178.60569999999998</v>
      </c>
      <c r="I680" s="18">
        <f t="shared" ref="I680:I690" si="1">(H680-G680)/G680</f>
        <v>0.19070466666666655</v>
      </c>
      <c r="J680" s="18">
        <f t="shared" ref="J680:J712" si="2">ABS(I680)</f>
        <v>0.19070466666666655</v>
      </c>
      <c r="K680" s="11"/>
    </row>
    <row r="681" spans="1:11">
      <c r="A681" s="4">
        <v>4</v>
      </c>
      <c r="B681" s="4" t="s">
        <v>11</v>
      </c>
      <c r="C681" s="6" t="s">
        <v>8</v>
      </c>
      <c r="D681" s="4" t="s">
        <v>12</v>
      </c>
      <c r="E681" s="4" t="s">
        <v>10</v>
      </c>
      <c r="F681" s="6">
        <v>45</v>
      </c>
      <c r="G681" s="6">
        <v>68</v>
      </c>
      <c r="H681" s="17">
        <f t="shared" si="0"/>
        <v>196.86549999999997</v>
      </c>
      <c r="I681" s="18">
        <f t="shared" si="1"/>
        <v>1.8950808823529408</v>
      </c>
      <c r="J681" s="18">
        <f t="shared" si="2"/>
        <v>1.8950808823529408</v>
      </c>
      <c r="K681" s="11"/>
    </row>
    <row r="682" spans="1:11">
      <c r="A682" s="4">
        <v>7</v>
      </c>
      <c r="B682" s="4" t="s">
        <v>7</v>
      </c>
      <c r="C682" s="4" t="s">
        <v>15</v>
      </c>
      <c r="D682" s="4" t="s">
        <v>12</v>
      </c>
      <c r="E682" s="4" t="s">
        <v>16</v>
      </c>
      <c r="F682" s="4">
        <v>52</v>
      </c>
      <c r="G682" s="5">
        <v>274.09199999999998</v>
      </c>
      <c r="H682" s="17">
        <f t="shared" si="0"/>
        <v>260.77479999999991</v>
      </c>
      <c r="I682" s="18">
        <f t="shared" si="1"/>
        <v>-4.8586605957124149E-2</v>
      </c>
      <c r="J682" s="18">
        <f t="shared" si="2"/>
        <v>4.8586605957124149E-2</v>
      </c>
      <c r="K682" s="11"/>
    </row>
    <row r="683" spans="1:11">
      <c r="A683" s="4">
        <v>8</v>
      </c>
      <c r="B683" s="4" t="s">
        <v>7</v>
      </c>
      <c r="C683" s="4" t="s">
        <v>15</v>
      </c>
      <c r="D683" s="4" t="s">
        <v>12</v>
      </c>
      <c r="E683" s="4" t="s">
        <v>16</v>
      </c>
      <c r="F683" s="4">
        <v>61</v>
      </c>
      <c r="G683" s="5">
        <v>336.84199999999998</v>
      </c>
      <c r="H683" s="17">
        <f t="shared" si="0"/>
        <v>342.94389999999999</v>
      </c>
      <c r="I683" s="18">
        <f t="shared" si="1"/>
        <v>1.8115021285944156E-2</v>
      </c>
      <c r="J683" s="18">
        <f t="shared" si="2"/>
        <v>1.8115021285944156E-2</v>
      </c>
      <c r="K683" s="11"/>
    </row>
    <row r="684" spans="1:11">
      <c r="A684" s="4">
        <v>9</v>
      </c>
      <c r="B684" s="4" t="s">
        <v>11</v>
      </c>
      <c r="C684" s="6" t="s">
        <v>8</v>
      </c>
      <c r="D684" s="4" t="s">
        <v>12</v>
      </c>
      <c r="E684" s="4" t="s">
        <v>10</v>
      </c>
      <c r="F684" s="6">
        <v>65</v>
      </c>
      <c r="G684" s="6">
        <v>139</v>
      </c>
      <c r="H684" s="17">
        <f t="shared" si="0"/>
        <v>379.46349999999995</v>
      </c>
      <c r="I684" s="18">
        <f t="shared" si="1"/>
        <v>1.7299532374100717</v>
      </c>
      <c r="J684" s="18">
        <f t="shared" si="2"/>
        <v>1.7299532374100717</v>
      </c>
      <c r="K684" s="11"/>
    </row>
    <row r="685" spans="1:11">
      <c r="A685" s="4">
        <v>10</v>
      </c>
      <c r="B685" s="4" t="s">
        <v>7</v>
      </c>
      <c r="C685" s="4" t="s">
        <v>15</v>
      </c>
      <c r="D685" s="4" t="s">
        <v>12</v>
      </c>
      <c r="E685" s="4" t="s">
        <v>16</v>
      </c>
      <c r="F685" s="4">
        <v>68</v>
      </c>
      <c r="G685" s="5">
        <v>512.04</v>
      </c>
      <c r="H685" s="17">
        <f t="shared" si="0"/>
        <v>406.8531999999999</v>
      </c>
      <c r="I685" s="18">
        <f t="shared" si="1"/>
        <v>-0.20542691977189295</v>
      </c>
      <c r="J685" s="18">
        <f t="shared" si="2"/>
        <v>0.20542691977189295</v>
      </c>
      <c r="K685" s="11"/>
    </row>
    <row r="686" spans="1:11">
      <c r="A686" s="4">
        <v>12</v>
      </c>
      <c r="B686" s="4" t="s">
        <v>7</v>
      </c>
      <c r="C686" s="4" t="s">
        <v>15</v>
      </c>
      <c r="D686" s="4" t="s">
        <v>12</v>
      </c>
      <c r="E686" s="4" t="s">
        <v>16</v>
      </c>
      <c r="F686" s="4">
        <v>70</v>
      </c>
      <c r="G686" s="5">
        <v>379.512</v>
      </c>
      <c r="H686" s="17">
        <f t="shared" si="0"/>
        <v>425.11299999999994</v>
      </c>
      <c r="I686" s="18">
        <f t="shared" si="1"/>
        <v>0.12015693838402987</v>
      </c>
      <c r="J686" s="18">
        <f t="shared" si="2"/>
        <v>0.12015693838402987</v>
      </c>
      <c r="K686" s="11"/>
    </row>
    <row r="687" spans="1:11">
      <c r="A687" s="4">
        <v>13</v>
      </c>
      <c r="B687" s="4" t="s">
        <v>7</v>
      </c>
      <c r="C687" s="4" t="s">
        <v>15</v>
      </c>
      <c r="D687" s="4" t="s">
        <v>12</v>
      </c>
      <c r="E687" s="4" t="s">
        <v>16</v>
      </c>
      <c r="F687" s="4">
        <v>72</v>
      </c>
      <c r="G687" s="5">
        <v>397.58399999999995</v>
      </c>
      <c r="H687" s="17">
        <f t="shared" si="0"/>
        <v>443.37279999999987</v>
      </c>
      <c r="I687" s="18">
        <f t="shared" si="1"/>
        <v>0.11516761237876758</v>
      </c>
      <c r="J687" s="18">
        <f t="shared" si="2"/>
        <v>0.11516761237876758</v>
      </c>
      <c r="K687" s="11"/>
    </row>
    <row r="688" spans="1:11">
      <c r="A688" s="4">
        <v>14</v>
      </c>
      <c r="B688" s="4" t="s">
        <v>7</v>
      </c>
      <c r="C688" s="4" t="s">
        <v>15</v>
      </c>
      <c r="D688" s="4" t="s">
        <v>12</v>
      </c>
      <c r="E688" s="4" t="s">
        <v>16</v>
      </c>
      <c r="F688" s="4">
        <v>73</v>
      </c>
      <c r="G688" s="5">
        <v>659.62799999999993</v>
      </c>
      <c r="H688" s="17">
        <f t="shared" si="0"/>
        <v>452.50269999999989</v>
      </c>
      <c r="I688" s="18">
        <f t="shared" si="1"/>
        <v>-0.31400319574062968</v>
      </c>
      <c r="J688" s="18">
        <f t="shared" si="2"/>
        <v>0.31400319574062968</v>
      </c>
      <c r="K688" s="11"/>
    </row>
    <row r="689" spans="1:11">
      <c r="A689" s="4">
        <v>15</v>
      </c>
      <c r="B689" s="4" t="s">
        <v>7</v>
      </c>
      <c r="C689" s="4" t="s">
        <v>15</v>
      </c>
      <c r="D689" s="4" t="s">
        <v>12</v>
      </c>
      <c r="E689" s="4" t="s">
        <v>16</v>
      </c>
      <c r="F689" s="4">
        <v>74</v>
      </c>
      <c r="G689" s="5">
        <v>482.92399999999998</v>
      </c>
      <c r="H689" s="17">
        <f t="shared" si="0"/>
        <v>461.63259999999991</v>
      </c>
      <c r="I689" s="18">
        <f t="shared" si="1"/>
        <v>-4.4088510821578691E-2</v>
      </c>
      <c r="J689" s="18">
        <f t="shared" si="2"/>
        <v>4.4088510821578691E-2</v>
      </c>
      <c r="K689" s="11"/>
    </row>
    <row r="690" spans="1:11">
      <c r="A690" s="4">
        <v>19</v>
      </c>
      <c r="B690" s="4" t="s">
        <v>7</v>
      </c>
      <c r="C690" s="4" t="s">
        <v>15</v>
      </c>
      <c r="D690" s="4" t="s">
        <v>12</v>
      </c>
      <c r="E690" s="4" t="s">
        <v>16</v>
      </c>
      <c r="F690" s="4">
        <v>79</v>
      </c>
      <c r="G690" s="5">
        <v>475.89599999999996</v>
      </c>
      <c r="H690" s="17">
        <f t="shared" si="0"/>
        <v>507.2820999999999</v>
      </c>
      <c r="I690" s="18">
        <f t="shared" si="1"/>
        <v>6.5951594466017671E-2</v>
      </c>
      <c r="J690" s="18">
        <f t="shared" si="2"/>
        <v>6.5951594466017671E-2</v>
      </c>
      <c r="K690" s="11"/>
    </row>
    <row r="691" spans="1:11">
      <c r="A691" s="4">
        <v>23</v>
      </c>
      <c r="B691" s="4" t="s">
        <v>7</v>
      </c>
      <c r="C691" s="4" t="s">
        <v>15</v>
      </c>
      <c r="D691" s="4" t="s">
        <v>12</v>
      </c>
      <c r="E691" s="4" t="s">
        <v>16</v>
      </c>
      <c r="F691" s="4">
        <v>81</v>
      </c>
      <c r="G691" s="5">
        <v>691.25399999999991</v>
      </c>
      <c r="H691" s="17">
        <f t="shared" si="0"/>
        <v>525.54189999999994</v>
      </c>
      <c r="I691" s="18">
        <f t="shared" ref="I691:I712" si="3">(H691-G691)/G691</f>
        <v>-0.23972678639110948</v>
      </c>
      <c r="J691" s="18">
        <f t="shared" si="2"/>
        <v>0.23972678639110948</v>
      </c>
      <c r="K691" s="11"/>
    </row>
    <row r="692" spans="1:11">
      <c r="A692" s="4">
        <v>24</v>
      </c>
      <c r="B692" s="4" t="s">
        <v>7</v>
      </c>
      <c r="C692" s="4" t="s">
        <v>15</v>
      </c>
      <c r="D692" s="4" t="s">
        <v>12</v>
      </c>
      <c r="E692" s="4" t="s">
        <v>16</v>
      </c>
      <c r="F692" s="4">
        <v>83</v>
      </c>
      <c r="G692" s="5">
        <v>466.6592</v>
      </c>
      <c r="H692" s="17">
        <f t="shared" si="0"/>
        <v>543.80169999999987</v>
      </c>
      <c r="I692" s="18">
        <f t="shared" si="3"/>
        <v>0.16530800207089</v>
      </c>
      <c r="J692" s="18">
        <f t="shared" si="2"/>
        <v>0.16530800207089</v>
      </c>
      <c r="K692" s="11"/>
    </row>
    <row r="693" spans="1:11">
      <c r="A693" s="4">
        <v>26</v>
      </c>
      <c r="B693" s="4" t="s">
        <v>7</v>
      </c>
      <c r="C693" s="4" t="s">
        <v>15</v>
      </c>
      <c r="D693" s="4" t="s">
        <v>12</v>
      </c>
      <c r="E693" s="4" t="s">
        <v>16</v>
      </c>
      <c r="F693" s="4">
        <v>84</v>
      </c>
      <c r="G693" s="5">
        <v>421.67999999999995</v>
      </c>
      <c r="H693" s="17">
        <f t="shared" si="0"/>
        <v>552.93159999999989</v>
      </c>
      <c r="I693" s="18">
        <f t="shared" si="3"/>
        <v>0.311258774426105</v>
      </c>
      <c r="J693" s="18">
        <f t="shared" si="2"/>
        <v>0.311258774426105</v>
      </c>
      <c r="K693" s="11"/>
    </row>
    <row r="694" spans="1:11">
      <c r="A694" s="4">
        <v>27</v>
      </c>
      <c r="B694" s="4" t="s">
        <v>7</v>
      </c>
      <c r="C694" s="4" t="s">
        <v>15</v>
      </c>
      <c r="D694" s="4" t="s">
        <v>12</v>
      </c>
      <c r="E694" s="4" t="s">
        <v>16</v>
      </c>
      <c r="F694" s="4">
        <v>85</v>
      </c>
      <c r="G694" s="5">
        <v>725.39</v>
      </c>
      <c r="H694" s="17">
        <f t="shared" si="0"/>
        <v>562.06149999999991</v>
      </c>
      <c r="I694" s="18">
        <f t="shared" si="3"/>
        <v>-0.22515956933511638</v>
      </c>
      <c r="J694" s="18">
        <f t="shared" si="2"/>
        <v>0.22515956933511638</v>
      </c>
      <c r="K694" s="11"/>
    </row>
    <row r="695" spans="1:11">
      <c r="A695" s="4">
        <v>30</v>
      </c>
      <c r="B695" s="4" t="s">
        <v>7</v>
      </c>
      <c r="C695" s="4" t="s">
        <v>15</v>
      </c>
      <c r="D695" s="4" t="s">
        <v>12</v>
      </c>
      <c r="E695" s="4" t="s">
        <v>16</v>
      </c>
      <c r="F695" s="4">
        <v>90</v>
      </c>
      <c r="G695" s="5">
        <v>406.61999999999995</v>
      </c>
      <c r="H695" s="17">
        <f t="shared" si="0"/>
        <v>607.7109999999999</v>
      </c>
      <c r="I695" s="18">
        <f t="shared" si="3"/>
        <v>0.49454281638876585</v>
      </c>
      <c r="J695" s="18">
        <f t="shared" si="2"/>
        <v>0.49454281638876585</v>
      </c>
      <c r="K695" s="11"/>
    </row>
    <row r="696" spans="1:11">
      <c r="A696" s="4">
        <v>32</v>
      </c>
      <c r="B696" s="4" t="s">
        <v>7</v>
      </c>
      <c r="C696" s="4" t="s">
        <v>15</v>
      </c>
      <c r="D696" s="4" t="s">
        <v>12</v>
      </c>
      <c r="E696" s="4" t="s">
        <v>16</v>
      </c>
      <c r="F696" s="4">
        <v>92</v>
      </c>
      <c r="G696" s="5">
        <v>831.31200000000001</v>
      </c>
      <c r="H696" s="17">
        <f t="shared" si="0"/>
        <v>625.97079999999994</v>
      </c>
      <c r="I696" s="18">
        <f t="shared" si="3"/>
        <v>-0.24700858402140238</v>
      </c>
      <c r="J696" s="18">
        <f t="shared" si="2"/>
        <v>0.24700858402140238</v>
      </c>
      <c r="K696" s="11"/>
    </row>
    <row r="697" spans="1:11">
      <c r="A697" s="4">
        <v>33</v>
      </c>
      <c r="B697" s="4" t="s">
        <v>7</v>
      </c>
      <c r="C697" s="4" t="s">
        <v>15</v>
      </c>
      <c r="D697" s="4" t="s">
        <v>12</v>
      </c>
      <c r="E697" s="4" t="s">
        <v>16</v>
      </c>
      <c r="F697" s="4">
        <v>100</v>
      </c>
      <c r="G697" s="5">
        <v>702.79999999999984</v>
      </c>
      <c r="H697" s="17">
        <f t="shared" si="0"/>
        <v>699.00999999999988</v>
      </c>
      <c r="I697" s="18">
        <f t="shared" si="3"/>
        <v>-5.3927148548661985E-3</v>
      </c>
      <c r="J697" s="18">
        <f t="shared" si="2"/>
        <v>5.3927148548661985E-3</v>
      </c>
      <c r="K697" s="11"/>
    </row>
    <row r="698" spans="1:11">
      <c r="A698" s="4">
        <v>35</v>
      </c>
      <c r="B698" s="4" t="s">
        <v>7</v>
      </c>
      <c r="C698" s="4" t="s">
        <v>15</v>
      </c>
      <c r="D698" s="4" t="s">
        <v>12</v>
      </c>
      <c r="E698" s="4" t="s">
        <v>16</v>
      </c>
      <c r="F698" s="4">
        <v>102</v>
      </c>
      <c r="G698" s="5">
        <v>921.67199999999991</v>
      </c>
      <c r="H698" s="17">
        <f t="shared" si="0"/>
        <v>717.26979999999992</v>
      </c>
      <c r="I698" s="18">
        <f t="shared" si="3"/>
        <v>-0.22177325556163149</v>
      </c>
      <c r="J698" s="18">
        <f t="shared" si="2"/>
        <v>0.22177325556163149</v>
      </c>
      <c r="K698" s="11"/>
    </row>
    <row r="699" spans="1:11">
      <c r="A699" s="4">
        <v>37</v>
      </c>
      <c r="B699" s="4" t="s">
        <v>7</v>
      </c>
      <c r="C699" s="4" t="s">
        <v>15</v>
      </c>
      <c r="D699" s="4" t="s">
        <v>12</v>
      </c>
      <c r="E699" s="4" t="s">
        <v>16</v>
      </c>
      <c r="F699" s="4">
        <v>108</v>
      </c>
      <c r="G699" s="5">
        <v>650.59199999999998</v>
      </c>
      <c r="H699" s="17">
        <f t="shared" si="0"/>
        <v>772.04919999999993</v>
      </c>
      <c r="I699" s="18">
        <f t="shared" si="3"/>
        <v>0.1866872018100437</v>
      </c>
      <c r="J699" s="18">
        <f t="shared" si="2"/>
        <v>0.1866872018100437</v>
      </c>
      <c r="K699" s="11"/>
    </row>
    <row r="700" spans="1:11">
      <c r="A700" s="4">
        <v>39</v>
      </c>
      <c r="B700" s="4" t="s">
        <v>7</v>
      </c>
      <c r="C700" s="4" t="s">
        <v>17</v>
      </c>
      <c r="D700" s="4" t="s">
        <v>12</v>
      </c>
      <c r="E700" s="4" t="s">
        <v>16</v>
      </c>
      <c r="F700" s="6">
        <v>110</v>
      </c>
      <c r="G700" s="6">
        <v>884</v>
      </c>
      <c r="H700" s="17">
        <f t="shared" si="0"/>
        <v>790.30899999999986</v>
      </c>
      <c r="I700" s="18">
        <f t="shared" si="3"/>
        <v>-0.10598529411764722</v>
      </c>
      <c r="J700" s="18">
        <f t="shared" si="2"/>
        <v>0.10598529411764722</v>
      </c>
      <c r="K700" s="11"/>
    </row>
    <row r="701" spans="1:11">
      <c r="A701" s="4">
        <v>43</v>
      </c>
      <c r="B701" s="4" t="s">
        <v>7</v>
      </c>
      <c r="C701" s="4" t="s">
        <v>15</v>
      </c>
      <c r="D701" s="4" t="s">
        <v>12</v>
      </c>
      <c r="E701" s="4" t="s">
        <v>16</v>
      </c>
      <c r="F701" s="4">
        <v>115</v>
      </c>
      <c r="G701" s="5">
        <v>692.75999999999988</v>
      </c>
      <c r="H701" s="17">
        <f t="shared" si="0"/>
        <v>835.95849999999996</v>
      </c>
      <c r="I701" s="18">
        <f t="shared" si="3"/>
        <v>0.20670722905479547</v>
      </c>
      <c r="J701" s="18">
        <f t="shared" si="2"/>
        <v>0.20670722905479547</v>
      </c>
      <c r="K701" s="11"/>
    </row>
    <row r="702" spans="1:11">
      <c r="A702" s="4">
        <v>45</v>
      </c>
      <c r="B702" s="4" t="s">
        <v>7</v>
      </c>
      <c r="C702" s="4" t="s">
        <v>15</v>
      </c>
      <c r="D702" s="4" t="s">
        <v>12</v>
      </c>
      <c r="E702" s="4" t="s">
        <v>16</v>
      </c>
      <c r="F702" s="4">
        <v>117</v>
      </c>
      <c r="G702" s="5">
        <v>728.30159999999989</v>
      </c>
      <c r="H702" s="17">
        <f t="shared" si="0"/>
        <v>854.2183</v>
      </c>
      <c r="I702" s="18">
        <f t="shared" si="3"/>
        <v>0.17289087378086238</v>
      </c>
      <c r="J702" s="18">
        <f t="shared" si="2"/>
        <v>0.17289087378086238</v>
      </c>
      <c r="K702" s="11"/>
    </row>
    <row r="703" spans="1:11">
      <c r="A703" s="4">
        <v>46</v>
      </c>
      <c r="B703" s="4" t="s">
        <v>7</v>
      </c>
      <c r="C703" s="4" t="s">
        <v>15</v>
      </c>
      <c r="D703" s="4" t="s">
        <v>12</v>
      </c>
      <c r="E703" s="4" t="s">
        <v>16</v>
      </c>
      <c r="F703" s="4">
        <v>117</v>
      </c>
      <c r="G703" s="5">
        <v>998.47799999999984</v>
      </c>
      <c r="H703" s="17">
        <f t="shared" si="0"/>
        <v>854.2183</v>
      </c>
      <c r="I703" s="18">
        <f t="shared" si="3"/>
        <v>-0.14447959794807683</v>
      </c>
      <c r="J703" s="18">
        <f t="shared" si="2"/>
        <v>0.14447959794807683</v>
      </c>
      <c r="K703" s="11"/>
    </row>
    <row r="704" spans="1:11">
      <c r="A704" s="4">
        <v>48</v>
      </c>
      <c r="B704" s="4" t="s">
        <v>7</v>
      </c>
      <c r="C704" s="4" t="s">
        <v>17</v>
      </c>
      <c r="D704" s="4" t="s">
        <v>12</v>
      </c>
      <c r="E704" s="4" t="s">
        <v>16</v>
      </c>
      <c r="F704" s="6">
        <v>122</v>
      </c>
      <c r="G704" s="6">
        <v>1045</v>
      </c>
      <c r="H704" s="17">
        <f t="shared" si="0"/>
        <v>899.86779999999999</v>
      </c>
      <c r="I704" s="18">
        <f t="shared" si="3"/>
        <v>-0.13888248803827752</v>
      </c>
      <c r="J704" s="18">
        <f t="shared" si="2"/>
        <v>0.13888248803827752</v>
      </c>
      <c r="K704" s="11"/>
    </row>
    <row r="705" spans="1:11">
      <c r="A705" s="4">
        <v>49</v>
      </c>
      <c r="B705" s="4" t="s">
        <v>7</v>
      </c>
      <c r="C705" s="4" t="s">
        <v>15</v>
      </c>
      <c r="D705" s="4" t="s">
        <v>12</v>
      </c>
      <c r="E705" s="4" t="s">
        <v>16</v>
      </c>
      <c r="F705" s="4">
        <v>125</v>
      </c>
      <c r="G705" s="5">
        <v>1004</v>
      </c>
      <c r="H705" s="17">
        <f t="shared" si="0"/>
        <v>927.25749999999994</v>
      </c>
      <c r="I705" s="18">
        <f t="shared" si="3"/>
        <v>-7.6436752988047876E-2</v>
      </c>
      <c r="J705" s="18">
        <f t="shared" si="2"/>
        <v>7.6436752988047876E-2</v>
      </c>
      <c r="K705" s="11"/>
    </row>
    <row r="706" spans="1:11">
      <c r="A706" s="4">
        <v>51</v>
      </c>
      <c r="B706" s="4" t="s">
        <v>7</v>
      </c>
      <c r="C706" s="4" t="s">
        <v>15</v>
      </c>
      <c r="D706" s="4" t="s">
        <v>12</v>
      </c>
      <c r="E706" s="4" t="s">
        <v>16</v>
      </c>
      <c r="F706" s="4">
        <v>127</v>
      </c>
      <c r="G706" s="5">
        <v>1020.064</v>
      </c>
      <c r="H706" s="17">
        <f t="shared" si="0"/>
        <v>945.51729999999998</v>
      </c>
      <c r="I706" s="18">
        <f t="shared" si="3"/>
        <v>-7.3080414562223542E-2</v>
      </c>
      <c r="J706" s="18">
        <f t="shared" si="2"/>
        <v>7.3080414562223542E-2</v>
      </c>
      <c r="K706" s="11"/>
    </row>
    <row r="707" spans="1:11">
      <c r="A707" s="4">
        <v>52</v>
      </c>
      <c r="B707" s="4" t="s">
        <v>7</v>
      </c>
      <c r="C707" s="4" t="s">
        <v>15</v>
      </c>
      <c r="D707" s="4" t="s">
        <v>12</v>
      </c>
      <c r="E707" s="4" t="s">
        <v>16</v>
      </c>
      <c r="F707" s="6">
        <v>135</v>
      </c>
      <c r="G707" s="6">
        <v>1053</v>
      </c>
      <c r="H707" s="17">
        <f t="shared" si="0"/>
        <v>1018.5564999999999</v>
      </c>
      <c r="I707" s="18">
        <f t="shared" si="3"/>
        <v>-3.2709876543209955E-2</v>
      </c>
      <c r="J707" s="18">
        <f t="shared" si="2"/>
        <v>3.2709876543209955E-2</v>
      </c>
      <c r="K707" s="11"/>
    </row>
    <row r="708" spans="1:11">
      <c r="A708" s="4">
        <v>54</v>
      </c>
      <c r="B708" s="4" t="s">
        <v>7</v>
      </c>
      <c r="C708" s="4" t="s">
        <v>15</v>
      </c>
      <c r="D708" s="4" t="s">
        <v>12</v>
      </c>
      <c r="E708" s="4" t="s">
        <v>16</v>
      </c>
      <c r="F708" s="4">
        <v>136</v>
      </c>
      <c r="G708" s="5">
        <v>1024.08</v>
      </c>
      <c r="H708" s="17">
        <f t="shared" si="0"/>
        <v>1027.6863999999998</v>
      </c>
      <c r="I708" s="18">
        <f t="shared" si="3"/>
        <v>3.5215998750096618E-3</v>
      </c>
      <c r="J708" s="18">
        <f t="shared" si="2"/>
        <v>3.5215998750096618E-3</v>
      </c>
      <c r="K708" s="11"/>
    </row>
    <row r="709" spans="1:11">
      <c r="A709" s="4">
        <v>55</v>
      </c>
      <c r="B709" s="4" t="s">
        <v>7</v>
      </c>
      <c r="C709" s="4" t="s">
        <v>15</v>
      </c>
      <c r="D709" s="4" t="s">
        <v>12</v>
      </c>
      <c r="E709" s="4" t="s">
        <v>16</v>
      </c>
      <c r="F709" s="4">
        <v>143</v>
      </c>
      <c r="G709" s="5">
        <v>861.4319999999999</v>
      </c>
      <c r="H709" s="17">
        <f t="shared" si="0"/>
        <v>1091.5956999999999</v>
      </c>
      <c r="I709" s="18">
        <f t="shared" si="3"/>
        <v>0.26718731136061813</v>
      </c>
      <c r="J709" s="18">
        <f t="shared" si="2"/>
        <v>0.26718731136061813</v>
      </c>
      <c r="K709" s="11"/>
    </row>
    <row r="710" spans="1:11">
      <c r="A710" s="4">
        <v>59</v>
      </c>
      <c r="B710" s="4" t="s">
        <v>7</v>
      </c>
      <c r="C710" s="4" t="s">
        <v>15</v>
      </c>
      <c r="D710" s="4" t="s">
        <v>12</v>
      </c>
      <c r="E710" s="4" t="s">
        <v>16</v>
      </c>
      <c r="F710" s="4">
        <v>153</v>
      </c>
      <c r="G710" s="5">
        <v>1228.896</v>
      </c>
      <c r="H710" s="17">
        <f t="shared" si="0"/>
        <v>1182.8946999999998</v>
      </c>
      <c r="I710" s="18">
        <f t="shared" si="3"/>
        <v>-3.7433029320626102E-2</v>
      </c>
      <c r="J710" s="18">
        <f t="shared" si="2"/>
        <v>3.7433029320626102E-2</v>
      </c>
      <c r="K710" s="11"/>
    </row>
    <row r="711" spans="1:11">
      <c r="A711" s="4">
        <v>60</v>
      </c>
      <c r="B711" s="4" t="s">
        <v>7</v>
      </c>
      <c r="C711" s="4" t="s">
        <v>15</v>
      </c>
      <c r="D711" s="4" t="s">
        <v>12</v>
      </c>
      <c r="E711" s="4" t="s">
        <v>16</v>
      </c>
      <c r="F711" s="6">
        <v>156</v>
      </c>
      <c r="G711" s="6">
        <v>1025</v>
      </c>
      <c r="H711" s="17">
        <f t="shared" si="0"/>
        <v>1210.2843999999998</v>
      </c>
      <c r="I711" s="18">
        <f t="shared" si="3"/>
        <v>0.18076526829268272</v>
      </c>
      <c r="J711" s="18">
        <f t="shared" si="2"/>
        <v>0.18076526829268272</v>
      </c>
      <c r="K711" s="11"/>
    </row>
    <row r="712" spans="1:11">
      <c r="A712" s="4">
        <v>63</v>
      </c>
      <c r="B712" s="4" t="s">
        <v>7</v>
      </c>
      <c r="C712" s="4" t="s">
        <v>15</v>
      </c>
      <c r="D712" s="4" t="s">
        <v>12</v>
      </c>
      <c r="E712" s="4" t="s">
        <v>16</v>
      </c>
      <c r="F712" s="4">
        <v>162</v>
      </c>
      <c r="G712" s="5">
        <v>1305</v>
      </c>
      <c r="H712" s="17">
        <f t="shared" si="0"/>
        <v>1265.0637999999999</v>
      </c>
      <c r="I712" s="18">
        <f t="shared" si="3"/>
        <v>-3.0602452107279771E-2</v>
      </c>
      <c r="J712" s="18">
        <f t="shared" si="2"/>
        <v>3.0602452107279771E-2</v>
      </c>
      <c r="K712" s="11"/>
    </row>
    <row r="716" spans="1:11" s="38" customFormat="1"/>
    <row r="717" spans="1:11" s="38" customFormat="1"/>
    <row r="718" spans="1:11" s="38" customFormat="1"/>
    <row r="719" spans="1:11" s="38" customFormat="1"/>
    <row r="720" spans="1:11" s="38" customFormat="1"/>
    <row r="721" spans="2:5" s="38" customFormat="1"/>
    <row r="722" spans="2:5" s="38" customFormat="1"/>
    <row r="723" spans="2:5" s="38" customFormat="1"/>
    <row r="724" spans="2:5" s="38" customFormat="1"/>
    <row r="725" spans="2:5" s="38" customFormat="1"/>
    <row r="726" spans="2:5" s="38" customFormat="1">
      <c r="B726" s="39"/>
    </row>
    <row r="727" spans="2:5" s="38" customFormat="1"/>
    <row r="728" spans="2:5" s="38" customFormat="1"/>
    <row r="729" spans="2:5" s="38" customFormat="1"/>
    <row r="730" spans="2:5" s="38" customFormat="1"/>
    <row r="731" spans="2:5" s="38" customFormat="1">
      <c r="B731" s="39"/>
      <c r="E731" s="40"/>
    </row>
    <row r="732" spans="2:5" s="38" customFormat="1"/>
    <row r="733" spans="2:5" s="38" customFormat="1"/>
    <row r="734" spans="2:5" s="38" customFormat="1"/>
    <row r="735" spans="2:5" s="38" customFormat="1"/>
    <row r="736" spans="2:5" s="38" customFormat="1">
      <c r="B736" s="39"/>
    </row>
    <row r="737" s="38" customFormat="1"/>
    <row r="738" s="38" customFormat="1"/>
    <row r="739" s="38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D9E4-2252-9048-8906-C3128104D8BB}">
  <dimension ref="A2:K199"/>
  <sheetViews>
    <sheetView topLeftCell="A138" workbookViewId="0">
      <selection activeCell="A163" sqref="A163:XFD199"/>
    </sheetView>
  </sheetViews>
  <sheetFormatPr baseColWidth="10" defaultColWidth="10.6640625" defaultRowHeight="16"/>
  <sheetData>
    <row r="2" spans="1:9">
      <c r="A2" t="s">
        <v>58</v>
      </c>
      <c r="I2" t="s">
        <v>57</v>
      </c>
    </row>
    <row r="21" spans="1:7" ht="32">
      <c r="A21" s="1" t="s">
        <v>0</v>
      </c>
      <c r="B21" s="8" t="s">
        <v>1</v>
      </c>
      <c r="C21" s="7" t="s">
        <v>2</v>
      </c>
      <c r="D21" s="7" t="s">
        <v>3</v>
      </c>
      <c r="E21" s="9" t="s">
        <v>4</v>
      </c>
      <c r="F21" s="2" t="s">
        <v>5</v>
      </c>
      <c r="G21" s="2" t="s">
        <v>6</v>
      </c>
    </row>
    <row r="22" spans="1:7">
      <c r="A22" s="4">
        <v>1</v>
      </c>
      <c r="B22" s="4" t="s">
        <v>7</v>
      </c>
      <c r="C22" s="6" t="s">
        <v>8</v>
      </c>
      <c r="D22" s="6" t="s">
        <v>9</v>
      </c>
      <c r="E22" s="4" t="s">
        <v>10</v>
      </c>
      <c r="F22" s="6">
        <v>25</v>
      </c>
      <c r="G22" s="6">
        <v>118</v>
      </c>
    </row>
    <row r="23" spans="1:7">
      <c r="A23" s="4">
        <v>2</v>
      </c>
      <c r="B23" s="4" t="s">
        <v>11</v>
      </c>
      <c r="C23" s="6" t="s">
        <v>8</v>
      </c>
      <c r="D23" s="4" t="s">
        <v>12</v>
      </c>
      <c r="E23" s="4" t="s">
        <v>10</v>
      </c>
      <c r="F23" s="6">
        <v>28</v>
      </c>
      <c r="G23" s="6">
        <v>42</v>
      </c>
    </row>
    <row r="24" spans="1:7">
      <c r="A24" s="4">
        <v>3</v>
      </c>
      <c r="B24" s="4" t="s">
        <v>13</v>
      </c>
      <c r="C24" s="6" t="s">
        <v>8</v>
      </c>
      <c r="D24" s="6" t="s">
        <v>14</v>
      </c>
      <c r="E24" s="4" t="s">
        <v>10</v>
      </c>
      <c r="F24" s="6">
        <v>43</v>
      </c>
      <c r="G24" s="6">
        <v>150</v>
      </c>
    </row>
    <row r="25" spans="1:7">
      <c r="A25" s="4">
        <v>4</v>
      </c>
      <c r="B25" s="4" t="s">
        <v>11</v>
      </c>
      <c r="C25" s="6" t="s">
        <v>8</v>
      </c>
      <c r="D25" s="4" t="s">
        <v>12</v>
      </c>
      <c r="E25" s="4" t="s">
        <v>10</v>
      </c>
      <c r="F25" s="6">
        <v>45</v>
      </c>
      <c r="G25" s="6">
        <v>68</v>
      </c>
    </row>
    <row r="26" spans="1:7">
      <c r="A26" s="4">
        <v>6</v>
      </c>
      <c r="B26" s="4" t="s">
        <v>11</v>
      </c>
      <c r="C26" s="6" t="s">
        <v>8</v>
      </c>
      <c r="D26" s="6" t="s">
        <v>9</v>
      </c>
      <c r="E26" s="4" t="s">
        <v>10</v>
      </c>
      <c r="F26" s="6">
        <v>51</v>
      </c>
      <c r="G26" s="6">
        <v>52</v>
      </c>
    </row>
    <row r="27" spans="1:7">
      <c r="A27" s="4">
        <v>9</v>
      </c>
      <c r="B27" s="4" t="s">
        <v>11</v>
      </c>
      <c r="C27" s="6" t="s">
        <v>8</v>
      </c>
      <c r="D27" s="4" t="s">
        <v>12</v>
      </c>
      <c r="E27" s="4" t="s">
        <v>10</v>
      </c>
      <c r="F27" s="6">
        <v>65</v>
      </c>
      <c r="G27" s="6">
        <v>139</v>
      </c>
    </row>
    <row r="28" spans="1:7">
      <c r="A28" s="4">
        <v>16</v>
      </c>
      <c r="B28" s="4" t="s">
        <v>11</v>
      </c>
      <c r="C28" s="6" t="s">
        <v>8</v>
      </c>
      <c r="D28" s="4" t="s">
        <v>12</v>
      </c>
      <c r="E28" s="4" t="s">
        <v>10</v>
      </c>
      <c r="F28" s="6">
        <v>75</v>
      </c>
      <c r="G28" s="6">
        <v>110</v>
      </c>
    </row>
    <row r="29" spans="1:7">
      <c r="A29" s="4">
        <v>18</v>
      </c>
      <c r="B29" s="4" t="s">
        <v>11</v>
      </c>
      <c r="C29" s="6" t="s">
        <v>8</v>
      </c>
      <c r="D29" s="6" t="s">
        <v>9</v>
      </c>
      <c r="E29" s="4" t="s">
        <v>10</v>
      </c>
      <c r="F29" s="6">
        <v>79</v>
      </c>
      <c r="G29" s="6">
        <v>142</v>
      </c>
    </row>
    <row r="30" spans="1:7">
      <c r="A30" s="4">
        <v>20</v>
      </c>
      <c r="B30" s="4" t="s">
        <v>11</v>
      </c>
      <c r="C30" s="4" t="s">
        <v>15</v>
      </c>
      <c r="D30" s="6" t="s">
        <v>9</v>
      </c>
      <c r="E30" s="4" t="s">
        <v>10</v>
      </c>
      <c r="F30" s="4">
        <v>80</v>
      </c>
      <c r="G30" s="4">
        <v>260</v>
      </c>
    </row>
    <row r="31" spans="1:7">
      <c r="A31" s="4">
        <v>22</v>
      </c>
      <c r="B31" s="4" t="s">
        <v>11</v>
      </c>
      <c r="C31" s="6" t="s">
        <v>8</v>
      </c>
      <c r="D31" s="6" t="s">
        <v>9</v>
      </c>
      <c r="E31" s="4" t="s">
        <v>10</v>
      </c>
      <c r="F31" s="6">
        <v>81</v>
      </c>
      <c r="G31" s="6">
        <v>190</v>
      </c>
    </row>
    <row r="32" spans="1:7">
      <c r="A32" s="4">
        <v>28</v>
      </c>
      <c r="B32" s="4" t="s">
        <v>11</v>
      </c>
      <c r="C32" s="6" t="s">
        <v>8</v>
      </c>
      <c r="D32" s="6" t="s">
        <v>9</v>
      </c>
      <c r="E32" s="4" t="s">
        <v>10</v>
      </c>
      <c r="F32" s="6">
        <v>87</v>
      </c>
      <c r="G32" s="6">
        <v>170</v>
      </c>
    </row>
    <row r="33" spans="1:7">
      <c r="A33" s="4">
        <v>29</v>
      </c>
      <c r="B33" s="4" t="s">
        <v>11</v>
      </c>
      <c r="C33" s="6" t="s">
        <v>8</v>
      </c>
      <c r="D33" s="6" t="s">
        <v>9</v>
      </c>
      <c r="E33" s="4" t="s">
        <v>10</v>
      </c>
      <c r="F33" s="6">
        <v>90</v>
      </c>
      <c r="G33" s="6">
        <v>189</v>
      </c>
    </row>
    <row r="34" spans="1:7">
      <c r="A34" s="4">
        <v>31</v>
      </c>
      <c r="B34" s="4" t="s">
        <v>11</v>
      </c>
      <c r="C34" s="4" t="s">
        <v>17</v>
      </c>
      <c r="D34" s="4" t="s">
        <v>12</v>
      </c>
      <c r="E34" s="4" t="s">
        <v>10</v>
      </c>
      <c r="F34" s="6">
        <v>92</v>
      </c>
      <c r="G34" s="6">
        <v>195</v>
      </c>
    </row>
    <row r="35" spans="1:7">
      <c r="A35" s="4">
        <v>34</v>
      </c>
      <c r="B35" s="4" t="s">
        <v>11</v>
      </c>
      <c r="C35" s="6" t="s">
        <v>8</v>
      </c>
      <c r="D35" s="6" t="s">
        <v>9</v>
      </c>
      <c r="E35" s="4" t="s">
        <v>10</v>
      </c>
      <c r="F35" s="6">
        <v>102</v>
      </c>
      <c r="G35" s="6">
        <v>200</v>
      </c>
    </row>
    <row r="36" spans="1:7">
      <c r="A36" s="4">
        <v>50</v>
      </c>
      <c r="B36" s="4" t="s">
        <v>11</v>
      </c>
      <c r="C36" s="6" t="s">
        <v>8</v>
      </c>
      <c r="D36" s="4" t="s">
        <v>12</v>
      </c>
      <c r="E36" s="4" t="s">
        <v>10</v>
      </c>
      <c r="F36" s="6">
        <v>127</v>
      </c>
      <c r="G36" s="6">
        <v>215</v>
      </c>
    </row>
    <row r="37" spans="1:7">
      <c r="A37" s="4">
        <v>53</v>
      </c>
      <c r="B37" s="4" t="s">
        <v>11</v>
      </c>
      <c r="C37" s="6" t="s">
        <v>8</v>
      </c>
      <c r="D37" s="6" t="s">
        <v>9</v>
      </c>
      <c r="E37" s="4" t="s">
        <v>10</v>
      </c>
      <c r="F37" s="6">
        <v>136</v>
      </c>
      <c r="G37" s="6">
        <v>220</v>
      </c>
    </row>
    <row r="38" spans="1:7">
      <c r="A38" s="4">
        <v>56</v>
      </c>
      <c r="B38" s="4" t="s">
        <v>11</v>
      </c>
      <c r="C38" s="6" t="s">
        <v>8</v>
      </c>
      <c r="D38" s="6" t="s">
        <v>9</v>
      </c>
      <c r="E38" s="4" t="s">
        <v>10</v>
      </c>
      <c r="F38" s="6">
        <v>148</v>
      </c>
      <c r="G38" s="6">
        <v>186</v>
      </c>
    </row>
    <row r="39" spans="1:7">
      <c r="A39" s="4">
        <v>57</v>
      </c>
      <c r="B39" s="4" t="s">
        <v>11</v>
      </c>
      <c r="C39" s="6" t="s">
        <v>8</v>
      </c>
      <c r="D39" s="6" t="s">
        <v>9</v>
      </c>
      <c r="E39" s="4" t="s">
        <v>10</v>
      </c>
      <c r="F39" s="6">
        <v>152</v>
      </c>
      <c r="G39" s="6">
        <v>237</v>
      </c>
    </row>
    <row r="40" spans="1:7">
      <c r="A40" s="4">
        <v>62</v>
      </c>
      <c r="B40" s="4" t="s">
        <v>11</v>
      </c>
      <c r="C40" s="6" t="s">
        <v>8</v>
      </c>
      <c r="D40" s="6" t="s">
        <v>9</v>
      </c>
      <c r="E40" s="4" t="s">
        <v>10</v>
      </c>
      <c r="F40" s="6">
        <v>160</v>
      </c>
      <c r="G40" s="6">
        <v>242</v>
      </c>
    </row>
    <row r="41" spans="1:7">
      <c r="A41" s="4">
        <v>65</v>
      </c>
      <c r="B41" s="4" t="s">
        <v>11</v>
      </c>
      <c r="C41" s="6" t="s">
        <v>8</v>
      </c>
      <c r="D41" s="6" t="s">
        <v>9</v>
      </c>
      <c r="E41" s="4" t="s">
        <v>10</v>
      </c>
      <c r="F41" s="6">
        <v>169</v>
      </c>
      <c r="G41" s="6">
        <v>215</v>
      </c>
    </row>
    <row r="44" spans="1:7">
      <c r="A44" t="s">
        <v>18</v>
      </c>
    </row>
    <row r="45" spans="1:7" ht="20">
      <c r="A45" s="13" t="s">
        <v>19</v>
      </c>
    </row>
    <row r="46" spans="1:7" ht="17">
      <c r="A46" s="14" t="s">
        <v>20</v>
      </c>
      <c r="B46" s="14" t="s">
        <v>21</v>
      </c>
      <c r="C46" s="14" t="s">
        <v>22</v>
      </c>
      <c r="D46" s="14" t="s">
        <v>23</v>
      </c>
      <c r="E46" s="14" t="s">
        <v>24</v>
      </c>
      <c r="F46" s="14" t="s">
        <v>25</v>
      </c>
      <c r="G46" s="14" t="s">
        <v>26</v>
      </c>
    </row>
    <row r="47" spans="1:7" ht="17">
      <c r="A47" s="14" t="s">
        <v>5</v>
      </c>
      <c r="B47" s="14">
        <v>20</v>
      </c>
      <c r="C47" s="14">
        <v>91.75</v>
      </c>
      <c r="D47" s="14">
        <v>44.073</v>
      </c>
      <c r="E47" s="14">
        <v>25</v>
      </c>
      <c r="F47" s="14">
        <v>84</v>
      </c>
      <c r="G47" s="14">
        <v>169</v>
      </c>
    </row>
    <row r="50" spans="1:7" ht="20">
      <c r="A50" s="13" t="s">
        <v>19</v>
      </c>
    </row>
    <row r="51" spans="1:7" ht="17">
      <c r="A51" s="14" t="s">
        <v>20</v>
      </c>
      <c r="B51" s="14" t="s">
        <v>21</v>
      </c>
      <c r="C51" s="14" t="s">
        <v>22</v>
      </c>
      <c r="D51" s="14" t="s">
        <v>23</v>
      </c>
      <c r="E51" s="14" t="s">
        <v>24</v>
      </c>
      <c r="F51" s="14" t="s">
        <v>25</v>
      </c>
      <c r="G51" s="14" t="s">
        <v>26</v>
      </c>
    </row>
    <row r="52" spans="1:7" ht="17">
      <c r="A52" s="14" t="s">
        <v>6</v>
      </c>
      <c r="B52" s="14">
        <v>20</v>
      </c>
      <c r="C52" s="14">
        <v>167</v>
      </c>
      <c r="D52" s="14">
        <v>63.18</v>
      </c>
      <c r="E52" s="14">
        <v>42</v>
      </c>
      <c r="F52" s="14">
        <v>187.5</v>
      </c>
      <c r="G52" s="14">
        <v>260</v>
      </c>
    </row>
    <row r="54" spans="1:7">
      <c r="A54" t="s">
        <v>28</v>
      </c>
    </row>
    <row r="55" spans="1:7" ht="20">
      <c r="A55" s="13" t="s">
        <v>29</v>
      </c>
    </row>
    <row r="56" spans="1:7" ht="17">
      <c r="A56" s="14" t="s">
        <v>30</v>
      </c>
      <c r="B56" s="14" t="s">
        <v>6</v>
      </c>
      <c r="C56" s="14"/>
      <c r="D56" s="14"/>
      <c r="E56" s="14"/>
      <c r="F56" s="14"/>
    </row>
    <row r="57" spans="1:7" ht="17">
      <c r="A57" s="14">
        <v>9</v>
      </c>
      <c r="B57" s="14">
        <v>260</v>
      </c>
      <c r="C57" s="14"/>
      <c r="D57" s="14"/>
      <c r="E57" s="14"/>
      <c r="F57" s="14"/>
    </row>
    <row r="58" spans="1:7" ht="17">
      <c r="A58" s="16"/>
    </row>
    <row r="60" spans="1:7" ht="32">
      <c r="A60" s="1" t="s">
        <v>0</v>
      </c>
      <c r="B60" s="8" t="s">
        <v>1</v>
      </c>
      <c r="C60" s="7" t="s">
        <v>2</v>
      </c>
      <c r="D60" s="7" t="s">
        <v>3</v>
      </c>
      <c r="E60" s="9" t="s">
        <v>4</v>
      </c>
      <c r="F60" s="2" t="s">
        <v>5</v>
      </c>
      <c r="G60" s="2" t="s">
        <v>6</v>
      </c>
    </row>
    <row r="61" spans="1:7">
      <c r="A61" s="4">
        <v>1</v>
      </c>
      <c r="B61" s="4" t="s">
        <v>7</v>
      </c>
      <c r="C61" s="6" t="s">
        <v>8</v>
      </c>
      <c r="D61" s="6" t="s">
        <v>9</v>
      </c>
      <c r="E61" s="4" t="s">
        <v>10</v>
      </c>
      <c r="F61" s="6">
        <v>25</v>
      </c>
      <c r="G61" s="6">
        <v>118</v>
      </c>
    </row>
    <row r="62" spans="1:7">
      <c r="A62" s="4">
        <v>2</v>
      </c>
      <c r="B62" s="4" t="s">
        <v>11</v>
      </c>
      <c r="C62" s="6" t="s">
        <v>8</v>
      </c>
      <c r="D62" s="4" t="s">
        <v>12</v>
      </c>
      <c r="E62" s="4" t="s">
        <v>10</v>
      </c>
      <c r="F62" s="6">
        <v>28</v>
      </c>
      <c r="G62" s="6">
        <v>42</v>
      </c>
    </row>
    <row r="63" spans="1:7">
      <c r="A63" s="4">
        <v>3</v>
      </c>
      <c r="B63" s="4" t="s">
        <v>13</v>
      </c>
      <c r="C63" s="6" t="s">
        <v>8</v>
      </c>
      <c r="D63" s="6" t="s">
        <v>14</v>
      </c>
      <c r="E63" s="4" t="s">
        <v>10</v>
      </c>
      <c r="F63" s="6">
        <v>43</v>
      </c>
      <c r="G63" s="6">
        <v>150</v>
      </c>
    </row>
    <row r="64" spans="1:7">
      <c r="A64" s="4">
        <v>4</v>
      </c>
      <c r="B64" s="4" t="s">
        <v>11</v>
      </c>
      <c r="C64" s="6" t="s">
        <v>8</v>
      </c>
      <c r="D64" s="4" t="s">
        <v>12</v>
      </c>
      <c r="E64" s="4" t="s">
        <v>10</v>
      </c>
      <c r="F64" s="6">
        <v>45</v>
      </c>
      <c r="G64" s="6">
        <v>68</v>
      </c>
    </row>
    <row r="65" spans="1:8">
      <c r="A65" s="4">
        <v>6</v>
      </c>
      <c r="B65" s="4" t="s">
        <v>11</v>
      </c>
      <c r="C65" s="6" t="s">
        <v>8</v>
      </c>
      <c r="D65" s="6" t="s">
        <v>9</v>
      </c>
      <c r="E65" s="4" t="s">
        <v>10</v>
      </c>
      <c r="F65" s="6">
        <v>51</v>
      </c>
      <c r="G65" s="6">
        <v>52</v>
      </c>
    </row>
    <row r="66" spans="1:8">
      <c r="A66" s="4">
        <v>9</v>
      </c>
      <c r="B66" s="4" t="s">
        <v>11</v>
      </c>
      <c r="C66" s="6" t="s">
        <v>8</v>
      </c>
      <c r="D66" s="4" t="s">
        <v>12</v>
      </c>
      <c r="E66" s="4" t="s">
        <v>10</v>
      </c>
      <c r="F66" s="6">
        <v>65</v>
      </c>
      <c r="G66" s="6">
        <v>139</v>
      </c>
    </row>
    <row r="67" spans="1:8">
      <c r="A67" s="4">
        <v>16</v>
      </c>
      <c r="B67" s="4" t="s">
        <v>11</v>
      </c>
      <c r="C67" s="6" t="s">
        <v>8</v>
      </c>
      <c r="D67" s="4" t="s">
        <v>12</v>
      </c>
      <c r="E67" s="4" t="s">
        <v>10</v>
      </c>
      <c r="F67" s="6">
        <v>75</v>
      </c>
      <c r="G67" s="6">
        <v>110</v>
      </c>
    </row>
    <row r="68" spans="1:8">
      <c r="A68" s="4">
        <v>18</v>
      </c>
      <c r="B68" s="4" t="s">
        <v>11</v>
      </c>
      <c r="C68" s="6" t="s">
        <v>8</v>
      </c>
      <c r="D68" s="6" t="s">
        <v>9</v>
      </c>
      <c r="E68" s="4" t="s">
        <v>10</v>
      </c>
      <c r="F68" s="6">
        <v>79</v>
      </c>
      <c r="G68" s="6">
        <v>142</v>
      </c>
    </row>
    <row r="69" spans="1:8">
      <c r="A69" s="4">
        <v>20</v>
      </c>
      <c r="B69" s="4" t="s">
        <v>11</v>
      </c>
      <c r="C69" s="4" t="s">
        <v>15</v>
      </c>
      <c r="D69" s="6" t="s">
        <v>9</v>
      </c>
      <c r="E69" s="4" t="s">
        <v>10</v>
      </c>
      <c r="F69" s="4">
        <v>80</v>
      </c>
      <c r="G69" s="4">
        <v>260</v>
      </c>
      <c r="H69" s="21" t="s">
        <v>31</v>
      </c>
    </row>
    <row r="70" spans="1:8">
      <c r="A70" s="4">
        <v>22</v>
      </c>
      <c r="B70" s="4" t="s">
        <v>11</v>
      </c>
      <c r="C70" s="6" t="s">
        <v>8</v>
      </c>
      <c r="D70" s="6" t="s">
        <v>9</v>
      </c>
      <c r="E70" s="4" t="s">
        <v>10</v>
      </c>
      <c r="F70" s="6">
        <v>81</v>
      </c>
      <c r="G70" s="6">
        <v>190</v>
      </c>
    </row>
    <row r="71" spans="1:8">
      <c r="A71" s="4">
        <v>28</v>
      </c>
      <c r="B71" s="4" t="s">
        <v>11</v>
      </c>
      <c r="C71" s="6" t="s">
        <v>8</v>
      </c>
      <c r="D71" s="6" t="s">
        <v>9</v>
      </c>
      <c r="E71" s="4" t="s">
        <v>10</v>
      </c>
      <c r="F71" s="6">
        <v>87</v>
      </c>
      <c r="G71" s="6">
        <v>170</v>
      </c>
    </row>
    <row r="72" spans="1:8">
      <c r="A72" s="4">
        <v>29</v>
      </c>
      <c r="B72" s="4" t="s">
        <v>11</v>
      </c>
      <c r="C72" s="6" t="s">
        <v>8</v>
      </c>
      <c r="D72" s="6" t="s">
        <v>9</v>
      </c>
      <c r="E72" s="4" t="s">
        <v>10</v>
      </c>
      <c r="F72" s="6">
        <v>90</v>
      </c>
      <c r="G72" s="6">
        <v>189</v>
      </c>
    </row>
    <row r="73" spans="1:8">
      <c r="A73" s="4">
        <v>31</v>
      </c>
      <c r="B73" s="4" t="s">
        <v>11</v>
      </c>
      <c r="C73" s="4" t="s">
        <v>17</v>
      </c>
      <c r="D73" s="4" t="s">
        <v>12</v>
      </c>
      <c r="E73" s="4" t="s">
        <v>10</v>
      </c>
      <c r="F73" s="6">
        <v>92</v>
      </c>
      <c r="G73" s="6">
        <v>195</v>
      </c>
    </row>
    <row r="74" spans="1:8">
      <c r="A74" s="4">
        <v>34</v>
      </c>
      <c r="B74" s="4" t="s">
        <v>11</v>
      </c>
      <c r="C74" s="6" t="s">
        <v>8</v>
      </c>
      <c r="D74" s="6" t="s">
        <v>9</v>
      </c>
      <c r="E74" s="4" t="s">
        <v>10</v>
      </c>
      <c r="F74" s="6">
        <v>102</v>
      </c>
      <c r="G74" s="6">
        <v>200</v>
      </c>
    </row>
    <row r="75" spans="1:8">
      <c r="A75" s="4">
        <v>50</v>
      </c>
      <c r="B75" s="4" t="s">
        <v>11</v>
      </c>
      <c r="C75" s="6" t="s">
        <v>8</v>
      </c>
      <c r="D75" s="4" t="s">
        <v>12</v>
      </c>
      <c r="E75" s="4" t="s">
        <v>10</v>
      </c>
      <c r="F75" s="6">
        <v>127</v>
      </c>
      <c r="G75" s="6">
        <v>215</v>
      </c>
    </row>
    <row r="76" spans="1:8">
      <c r="A76" s="4">
        <v>53</v>
      </c>
      <c r="B76" s="4" t="s">
        <v>11</v>
      </c>
      <c r="C76" s="6" t="s">
        <v>8</v>
      </c>
      <c r="D76" s="6" t="s">
        <v>9</v>
      </c>
      <c r="E76" s="4" t="s">
        <v>10</v>
      </c>
      <c r="F76" s="6">
        <v>136</v>
      </c>
      <c r="G76" s="6">
        <v>220</v>
      </c>
    </row>
    <row r="77" spans="1:8">
      <c r="A77" s="4">
        <v>56</v>
      </c>
      <c r="B77" s="4" t="s">
        <v>11</v>
      </c>
      <c r="C77" s="6" t="s">
        <v>8</v>
      </c>
      <c r="D77" s="6" t="s">
        <v>9</v>
      </c>
      <c r="E77" s="4" t="s">
        <v>10</v>
      </c>
      <c r="F77" s="6">
        <v>148</v>
      </c>
      <c r="G77" s="6">
        <v>186</v>
      </c>
    </row>
    <row r="78" spans="1:8">
      <c r="A78" s="4">
        <v>57</v>
      </c>
      <c r="B78" s="4" t="s">
        <v>11</v>
      </c>
      <c r="C78" s="6" t="s">
        <v>8</v>
      </c>
      <c r="D78" s="6" t="s">
        <v>9</v>
      </c>
      <c r="E78" s="4" t="s">
        <v>10</v>
      </c>
      <c r="F78" s="6">
        <v>152</v>
      </c>
      <c r="G78" s="6">
        <v>237</v>
      </c>
    </row>
    <row r="79" spans="1:8">
      <c r="A79" s="4">
        <v>62</v>
      </c>
      <c r="B79" s="4" t="s">
        <v>11</v>
      </c>
      <c r="C79" s="6" t="s">
        <v>8</v>
      </c>
      <c r="D79" s="6" t="s">
        <v>9</v>
      </c>
      <c r="E79" s="4" t="s">
        <v>10</v>
      </c>
      <c r="F79" s="6">
        <v>160</v>
      </c>
      <c r="G79" s="6">
        <v>242</v>
      </c>
    </row>
    <row r="80" spans="1:8">
      <c r="A80" s="4">
        <v>65</v>
      </c>
      <c r="B80" s="4" t="s">
        <v>11</v>
      </c>
      <c r="C80" s="6" t="s">
        <v>8</v>
      </c>
      <c r="D80" s="6" t="s">
        <v>9</v>
      </c>
      <c r="E80" s="4" t="s">
        <v>10</v>
      </c>
      <c r="F80" s="6">
        <v>169</v>
      </c>
      <c r="G80" s="6">
        <v>215</v>
      </c>
    </row>
    <row r="83" spans="1:7" ht="32">
      <c r="A83" s="1" t="s">
        <v>0</v>
      </c>
      <c r="B83" s="8" t="s">
        <v>1</v>
      </c>
      <c r="C83" s="7" t="s">
        <v>2</v>
      </c>
      <c r="D83" s="7" t="s">
        <v>3</v>
      </c>
      <c r="E83" s="9" t="s">
        <v>4</v>
      </c>
      <c r="F83" s="2" t="s">
        <v>5</v>
      </c>
      <c r="G83" s="2" t="s">
        <v>6</v>
      </c>
    </row>
    <row r="84" spans="1:7">
      <c r="A84" s="4">
        <v>1</v>
      </c>
      <c r="B84" s="4" t="s">
        <v>7</v>
      </c>
      <c r="C84" s="6" t="s">
        <v>8</v>
      </c>
      <c r="D84" s="6" t="s">
        <v>9</v>
      </c>
      <c r="E84" s="4" t="s">
        <v>10</v>
      </c>
      <c r="F84" s="6">
        <v>25</v>
      </c>
      <c r="G84" s="6">
        <v>118</v>
      </c>
    </row>
    <row r="85" spans="1:7">
      <c r="A85" s="4">
        <v>2</v>
      </c>
      <c r="B85" s="4" t="s">
        <v>11</v>
      </c>
      <c r="C85" s="6" t="s">
        <v>8</v>
      </c>
      <c r="D85" s="4" t="s">
        <v>12</v>
      </c>
      <c r="E85" s="4" t="s">
        <v>10</v>
      </c>
      <c r="F85" s="6">
        <v>28</v>
      </c>
      <c r="G85" s="6">
        <v>42</v>
      </c>
    </row>
    <row r="86" spans="1:7">
      <c r="A86" s="4">
        <v>3</v>
      </c>
      <c r="B86" s="4" t="s">
        <v>13</v>
      </c>
      <c r="C86" s="6" t="s">
        <v>8</v>
      </c>
      <c r="D86" s="6" t="s">
        <v>14</v>
      </c>
      <c r="E86" s="4" t="s">
        <v>10</v>
      </c>
      <c r="F86" s="6">
        <v>43</v>
      </c>
      <c r="G86" s="6">
        <v>150</v>
      </c>
    </row>
    <row r="87" spans="1:7">
      <c r="A87" s="4">
        <v>4</v>
      </c>
      <c r="B87" s="4" t="s">
        <v>11</v>
      </c>
      <c r="C87" s="6" t="s">
        <v>8</v>
      </c>
      <c r="D87" s="4" t="s">
        <v>12</v>
      </c>
      <c r="E87" s="4" t="s">
        <v>10</v>
      </c>
      <c r="F87" s="6">
        <v>45</v>
      </c>
      <c r="G87" s="6">
        <v>68</v>
      </c>
    </row>
    <row r="88" spans="1:7">
      <c r="A88" s="4">
        <v>6</v>
      </c>
      <c r="B88" s="4" t="s">
        <v>11</v>
      </c>
      <c r="C88" s="6" t="s">
        <v>8</v>
      </c>
      <c r="D88" s="6" t="s">
        <v>9</v>
      </c>
      <c r="E88" s="4" t="s">
        <v>10</v>
      </c>
      <c r="F88" s="6">
        <v>51</v>
      </c>
      <c r="G88" s="6">
        <v>52</v>
      </c>
    </row>
    <row r="89" spans="1:7">
      <c r="A89" s="4">
        <v>9</v>
      </c>
      <c r="B89" s="4" t="s">
        <v>11</v>
      </c>
      <c r="C89" s="6" t="s">
        <v>8</v>
      </c>
      <c r="D89" s="4" t="s">
        <v>12</v>
      </c>
      <c r="E89" s="4" t="s">
        <v>10</v>
      </c>
      <c r="F89" s="6">
        <v>65</v>
      </c>
      <c r="G89" s="6">
        <v>139</v>
      </c>
    </row>
    <row r="90" spans="1:7">
      <c r="A90" s="4">
        <v>16</v>
      </c>
      <c r="B90" s="4" t="s">
        <v>11</v>
      </c>
      <c r="C90" s="6" t="s">
        <v>8</v>
      </c>
      <c r="D90" s="4" t="s">
        <v>12</v>
      </c>
      <c r="E90" s="4" t="s">
        <v>10</v>
      </c>
      <c r="F90" s="6">
        <v>75</v>
      </c>
      <c r="G90" s="6">
        <v>110</v>
      </c>
    </row>
    <row r="91" spans="1:7">
      <c r="A91" s="4">
        <v>18</v>
      </c>
      <c r="B91" s="4" t="s">
        <v>11</v>
      </c>
      <c r="C91" s="6" t="s">
        <v>8</v>
      </c>
      <c r="D91" s="6" t="s">
        <v>9</v>
      </c>
      <c r="E91" s="4" t="s">
        <v>10</v>
      </c>
      <c r="F91" s="6">
        <v>79</v>
      </c>
      <c r="G91" s="6">
        <v>142</v>
      </c>
    </row>
    <row r="92" spans="1:7">
      <c r="A92" s="4">
        <v>22</v>
      </c>
      <c r="B92" s="4" t="s">
        <v>11</v>
      </c>
      <c r="C92" s="6" t="s">
        <v>8</v>
      </c>
      <c r="D92" s="6" t="s">
        <v>9</v>
      </c>
      <c r="E92" s="4" t="s">
        <v>10</v>
      </c>
      <c r="F92" s="6">
        <v>81</v>
      </c>
      <c r="G92" s="6">
        <v>190</v>
      </c>
    </row>
    <row r="93" spans="1:7">
      <c r="A93" s="4">
        <v>28</v>
      </c>
      <c r="B93" s="4" t="s">
        <v>11</v>
      </c>
      <c r="C93" s="6" t="s">
        <v>8</v>
      </c>
      <c r="D93" s="6" t="s">
        <v>9</v>
      </c>
      <c r="E93" s="4" t="s">
        <v>10</v>
      </c>
      <c r="F93" s="6">
        <v>87</v>
      </c>
      <c r="G93" s="6">
        <v>170</v>
      </c>
    </row>
    <row r="94" spans="1:7">
      <c r="A94" s="4">
        <v>29</v>
      </c>
      <c r="B94" s="4" t="s">
        <v>11</v>
      </c>
      <c r="C94" s="6" t="s">
        <v>8</v>
      </c>
      <c r="D94" s="6" t="s">
        <v>9</v>
      </c>
      <c r="E94" s="4" t="s">
        <v>10</v>
      </c>
      <c r="F94" s="6">
        <v>90</v>
      </c>
      <c r="G94" s="6">
        <v>189</v>
      </c>
    </row>
    <row r="95" spans="1:7">
      <c r="A95" s="4">
        <v>31</v>
      </c>
      <c r="B95" s="4" t="s">
        <v>11</v>
      </c>
      <c r="C95" s="4" t="s">
        <v>17</v>
      </c>
      <c r="D95" s="4" t="s">
        <v>12</v>
      </c>
      <c r="E95" s="4" t="s">
        <v>10</v>
      </c>
      <c r="F95" s="6">
        <v>92</v>
      </c>
      <c r="G95" s="6">
        <v>195</v>
      </c>
    </row>
    <row r="96" spans="1:7">
      <c r="A96" s="4">
        <v>34</v>
      </c>
      <c r="B96" s="4" t="s">
        <v>11</v>
      </c>
      <c r="C96" s="6" t="s">
        <v>8</v>
      </c>
      <c r="D96" s="6" t="s">
        <v>9</v>
      </c>
      <c r="E96" s="4" t="s">
        <v>10</v>
      </c>
      <c r="F96" s="6">
        <v>102</v>
      </c>
      <c r="G96" s="6">
        <v>200</v>
      </c>
    </row>
    <row r="97" spans="1:7">
      <c r="A97" s="4">
        <v>50</v>
      </c>
      <c r="B97" s="4" t="s">
        <v>11</v>
      </c>
      <c r="C97" s="6" t="s">
        <v>8</v>
      </c>
      <c r="D97" s="4" t="s">
        <v>12</v>
      </c>
      <c r="E97" s="4" t="s">
        <v>10</v>
      </c>
      <c r="F97" s="6">
        <v>127</v>
      </c>
      <c r="G97" s="6">
        <v>215</v>
      </c>
    </row>
    <row r="98" spans="1:7">
      <c r="A98" s="4">
        <v>53</v>
      </c>
      <c r="B98" s="4" t="s">
        <v>11</v>
      </c>
      <c r="C98" s="6" t="s">
        <v>8</v>
      </c>
      <c r="D98" s="6" t="s">
        <v>9</v>
      </c>
      <c r="E98" s="4" t="s">
        <v>10</v>
      </c>
      <c r="F98" s="6">
        <v>136</v>
      </c>
      <c r="G98" s="6">
        <v>220</v>
      </c>
    </row>
    <row r="99" spans="1:7">
      <c r="A99" s="4">
        <v>56</v>
      </c>
      <c r="B99" s="4" t="s">
        <v>11</v>
      </c>
      <c r="C99" s="6" t="s">
        <v>8</v>
      </c>
      <c r="D99" s="6" t="s">
        <v>9</v>
      </c>
      <c r="E99" s="4" t="s">
        <v>10</v>
      </c>
      <c r="F99" s="6">
        <v>148</v>
      </c>
      <c r="G99" s="6">
        <v>186</v>
      </c>
    </row>
    <row r="100" spans="1:7">
      <c r="A100" s="4">
        <v>57</v>
      </c>
      <c r="B100" s="4" t="s">
        <v>11</v>
      </c>
      <c r="C100" s="6" t="s">
        <v>8</v>
      </c>
      <c r="D100" s="6" t="s">
        <v>9</v>
      </c>
      <c r="E100" s="4" t="s">
        <v>10</v>
      </c>
      <c r="F100" s="6">
        <v>152</v>
      </c>
      <c r="G100" s="6">
        <v>237</v>
      </c>
    </row>
    <row r="101" spans="1:7">
      <c r="A101" s="4">
        <v>62</v>
      </c>
      <c r="B101" s="4" t="s">
        <v>11</v>
      </c>
      <c r="C101" s="6" t="s">
        <v>8</v>
      </c>
      <c r="D101" s="6" t="s">
        <v>9</v>
      </c>
      <c r="E101" s="4" t="s">
        <v>10</v>
      </c>
      <c r="F101" s="6">
        <v>160</v>
      </c>
      <c r="G101" s="6">
        <v>242</v>
      </c>
    </row>
    <row r="102" spans="1:7">
      <c r="A102" s="4">
        <v>65</v>
      </c>
      <c r="B102" s="4" t="s">
        <v>11</v>
      </c>
      <c r="C102" s="6" t="s">
        <v>8</v>
      </c>
      <c r="D102" s="6" t="s">
        <v>9</v>
      </c>
      <c r="E102" s="4" t="s">
        <v>10</v>
      </c>
      <c r="F102" s="6">
        <v>169</v>
      </c>
      <c r="G102" s="6">
        <v>215</v>
      </c>
    </row>
    <row r="104" spans="1:7">
      <c r="A104" t="s">
        <v>28</v>
      </c>
    </row>
    <row r="105" spans="1:7">
      <c r="A105" t="s">
        <v>31</v>
      </c>
      <c r="B105" t="s">
        <v>32</v>
      </c>
    </row>
    <row r="107" spans="1:7" ht="20">
      <c r="A107" s="10" t="s">
        <v>33</v>
      </c>
      <c r="D107" s="10" t="s">
        <v>33</v>
      </c>
    </row>
    <row r="108" spans="1:7" ht="20">
      <c r="A108" s="33">
        <v>19</v>
      </c>
      <c r="D108" s="33">
        <v>19</v>
      </c>
    </row>
    <row r="109" spans="1:7" ht="20">
      <c r="A109" s="10" t="s">
        <v>45</v>
      </c>
      <c r="D109" s="10" t="s">
        <v>45</v>
      </c>
    </row>
    <row r="110" spans="1:7" ht="20">
      <c r="A110" s="10">
        <v>1</v>
      </c>
      <c r="D110" s="10">
        <v>1</v>
      </c>
    </row>
    <row r="111" spans="1:7" ht="20">
      <c r="A111" s="10" t="s">
        <v>34</v>
      </c>
      <c r="D111" s="10" t="s">
        <v>34</v>
      </c>
    </row>
    <row r="112" spans="1:7" ht="20">
      <c r="A112" s="10" t="s">
        <v>0</v>
      </c>
      <c r="D112" s="10" t="s">
        <v>0</v>
      </c>
    </row>
    <row r="113" spans="1:4" ht="20">
      <c r="A113" s="10"/>
      <c r="D113" s="10"/>
    </row>
    <row r="114" spans="1:4">
      <c r="A114" t="s">
        <v>50</v>
      </c>
    </row>
    <row r="132" spans="1:11" ht="20">
      <c r="A132" s="13" t="s">
        <v>36</v>
      </c>
    </row>
    <row r="133" spans="1:11" ht="17">
      <c r="A133" s="14" t="s">
        <v>37</v>
      </c>
    </row>
    <row r="134" spans="1:11" ht="17">
      <c r="A134" s="15">
        <v>0.69010000000000005</v>
      </c>
    </row>
    <row r="136" spans="1:11" ht="20">
      <c r="A136" s="13" t="s">
        <v>38</v>
      </c>
    </row>
    <row r="137" spans="1:11" ht="17">
      <c r="A137" s="14" t="s">
        <v>55</v>
      </c>
    </row>
    <row r="140" spans="1:11">
      <c r="A140" t="s">
        <v>40</v>
      </c>
    </row>
    <row r="141" spans="1:11" ht="32">
      <c r="A141" s="1" t="s">
        <v>0</v>
      </c>
      <c r="B141" s="8" t="s">
        <v>1</v>
      </c>
      <c r="C141" s="7" t="s">
        <v>2</v>
      </c>
      <c r="D141" s="7" t="s">
        <v>3</v>
      </c>
      <c r="E141" s="9" t="s">
        <v>4</v>
      </c>
      <c r="F141" s="2" t="s">
        <v>5</v>
      </c>
      <c r="G141" s="2" t="s">
        <v>6</v>
      </c>
      <c r="H141" s="2" t="s">
        <v>41</v>
      </c>
      <c r="I141" s="2" t="s">
        <v>42</v>
      </c>
      <c r="J141" s="2" t="s">
        <v>43</v>
      </c>
      <c r="K141" s="2" t="s">
        <v>40</v>
      </c>
    </row>
    <row r="142" spans="1:11">
      <c r="A142" s="4">
        <v>1</v>
      </c>
      <c r="B142" s="4" t="s">
        <v>7</v>
      </c>
      <c r="C142" s="6" t="s">
        <v>8</v>
      </c>
      <c r="D142" s="6" t="s">
        <v>9</v>
      </c>
      <c r="E142" s="4" t="s">
        <v>10</v>
      </c>
      <c r="F142" s="6">
        <v>25</v>
      </c>
      <c r="G142" s="6">
        <v>118</v>
      </c>
      <c r="H142" s="17">
        <f>57.43+1.1332*F142</f>
        <v>85.759999999999991</v>
      </c>
      <c r="I142" s="18">
        <f>(H142-G142)/G142</f>
        <v>-0.27322033898305093</v>
      </c>
      <c r="J142" s="18">
        <f>ABS(I142)</f>
        <v>0.27322033898305093</v>
      </c>
      <c r="K142" s="18">
        <f>AVERAGE(J142:J160)</f>
        <v>0.27152415713713007</v>
      </c>
    </row>
    <row r="143" spans="1:11">
      <c r="A143" s="4">
        <v>2</v>
      </c>
      <c r="B143" s="4" t="s">
        <v>11</v>
      </c>
      <c r="C143" s="6" t="s">
        <v>8</v>
      </c>
      <c r="D143" s="4" t="s">
        <v>12</v>
      </c>
      <c r="E143" s="4" t="s">
        <v>10</v>
      </c>
      <c r="F143" s="6">
        <v>28</v>
      </c>
      <c r="G143" s="6">
        <v>42</v>
      </c>
      <c r="H143" s="17">
        <f t="shared" ref="H143:H160" si="0">57.43+1.1332*F143</f>
        <v>89.159599999999998</v>
      </c>
      <c r="I143" s="18">
        <f t="shared" ref="I143:I151" si="1">(H143-G143)/G143</f>
        <v>1.1228476190476191</v>
      </c>
      <c r="J143" s="18">
        <f t="shared" ref="J143:J160" si="2">ABS(I143)</f>
        <v>1.1228476190476191</v>
      </c>
      <c r="K143" s="11"/>
    </row>
    <row r="144" spans="1:11">
      <c r="A144" s="4">
        <v>3</v>
      </c>
      <c r="B144" s="4" t="s">
        <v>13</v>
      </c>
      <c r="C144" s="6" t="s">
        <v>8</v>
      </c>
      <c r="D144" s="6" t="s">
        <v>14</v>
      </c>
      <c r="E144" s="4" t="s">
        <v>10</v>
      </c>
      <c r="F144" s="6">
        <v>43</v>
      </c>
      <c r="G144" s="6">
        <v>150</v>
      </c>
      <c r="H144" s="17">
        <f t="shared" si="0"/>
        <v>106.1576</v>
      </c>
      <c r="I144" s="18">
        <f t="shared" si="1"/>
        <v>-0.29228266666666664</v>
      </c>
      <c r="J144" s="18">
        <f t="shared" si="2"/>
        <v>0.29228266666666664</v>
      </c>
      <c r="K144" s="11"/>
    </row>
    <row r="145" spans="1:11">
      <c r="A145" s="4">
        <v>4</v>
      </c>
      <c r="B145" s="4" t="s">
        <v>11</v>
      </c>
      <c r="C145" s="6" t="s">
        <v>8</v>
      </c>
      <c r="D145" s="4" t="s">
        <v>12</v>
      </c>
      <c r="E145" s="4" t="s">
        <v>10</v>
      </c>
      <c r="F145" s="6">
        <v>45</v>
      </c>
      <c r="G145" s="6">
        <v>68</v>
      </c>
      <c r="H145" s="17">
        <f t="shared" si="0"/>
        <v>108.42400000000001</v>
      </c>
      <c r="I145" s="18">
        <f t="shared" si="1"/>
        <v>0.5944705882352942</v>
      </c>
      <c r="J145" s="18">
        <f t="shared" si="2"/>
        <v>0.5944705882352942</v>
      </c>
      <c r="K145" s="11"/>
    </row>
    <row r="146" spans="1:11">
      <c r="A146" s="4">
        <v>6</v>
      </c>
      <c r="B146" s="4" t="s">
        <v>11</v>
      </c>
      <c r="C146" s="6" t="s">
        <v>8</v>
      </c>
      <c r="D146" s="6" t="s">
        <v>9</v>
      </c>
      <c r="E146" s="4" t="s">
        <v>10</v>
      </c>
      <c r="F146" s="6">
        <v>51</v>
      </c>
      <c r="G146" s="6">
        <v>52</v>
      </c>
      <c r="H146" s="17">
        <f t="shared" si="0"/>
        <v>115.22319999999999</v>
      </c>
      <c r="I146" s="18">
        <f t="shared" si="1"/>
        <v>1.215830769230769</v>
      </c>
      <c r="J146" s="18">
        <f t="shared" si="2"/>
        <v>1.215830769230769</v>
      </c>
      <c r="K146" s="11"/>
    </row>
    <row r="147" spans="1:11">
      <c r="A147" s="4">
        <v>9</v>
      </c>
      <c r="B147" s="4" t="s">
        <v>11</v>
      </c>
      <c r="C147" s="6" t="s">
        <v>8</v>
      </c>
      <c r="D147" s="4" t="s">
        <v>12</v>
      </c>
      <c r="E147" s="4" t="s">
        <v>10</v>
      </c>
      <c r="F147" s="6">
        <v>65</v>
      </c>
      <c r="G147" s="6">
        <v>139</v>
      </c>
      <c r="H147" s="17">
        <f t="shared" si="0"/>
        <v>131.08799999999999</v>
      </c>
      <c r="I147" s="18">
        <f t="shared" si="1"/>
        <v>-5.692086330935256E-2</v>
      </c>
      <c r="J147" s="18">
        <f t="shared" si="2"/>
        <v>5.692086330935256E-2</v>
      </c>
      <c r="K147" s="11"/>
    </row>
    <row r="148" spans="1:11">
      <c r="A148" s="4">
        <v>16</v>
      </c>
      <c r="B148" s="4" t="s">
        <v>11</v>
      </c>
      <c r="C148" s="6" t="s">
        <v>8</v>
      </c>
      <c r="D148" s="4" t="s">
        <v>12</v>
      </c>
      <c r="E148" s="4" t="s">
        <v>10</v>
      </c>
      <c r="F148" s="6">
        <v>75</v>
      </c>
      <c r="G148" s="6">
        <v>110</v>
      </c>
      <c r="H148" s="17">
        <f t="shared" si="0"/>
        <v>142.41999999999999</v>
      </c>
      <c r="I148" s="18">
        <f t="shared" si="1"/>
        <v>0.29472727272727262</v>
      </c>
      <c r="J148" s="18">
        <f t="shared" si="2"/>
        <v>0.29472727272727262</v>
      </c>
      <c r="K148" s="11"/>
    </row>
    <row r="149" spans="1:11">
      <c r="A149" s="4">
        <v>18</v>
      </c>
      <c r="B149" s="4" t="s">
        <v>11</v>
      </c>
      <c r="C149" s="6" t="s">
        <v>8</v>
      </c>
      <c r="D149" s="6" t="s">
        <v>9</v>
      </c>
      <c r="E149" s="4" t="s">
        <v>10</v>
      </c>
      <c r="F149" s="6">
        <v>79</v>
      </c>
      <c r="G149" s="6">
        <v>142</v>
      </c>
      <c r="H149" s="17">
        <f t="shared" si="0"/>
        <v>146.9528</v>
      </c>
      <c r="I149" s="18">
        <f t="shared" si="1"/>
        <v>3.4878873239436593E-2</v>
      </c>
      <c r="J149" s="18">
        <f t="shared" si="2"/>
        <v>3.4878873239436593E-2</v>
      </c>
      <c r="K149" s="11"/>
    </row>
    <row r="150" spans="1:11">
      <c r="A150" s="4">
        <v>22</v>
      </c>
      <c r="B150" s="4" t="s">
        <v>11</v>
      </c>
      <c r="C150" s="6" t="s">
        <v>8</v>
      </c>
      <c r="D150" s="6" t="s">
        <v>9</v>
      </c>
      <c r="E150" s="4" t="s">
        <v>10</v>
      </c>
      <c r="F150" s="6">
        <v>81</v>
      </c>
      <c r="G150" s="6">
        <v>190</v>
      </c>
      <c r="H150" s="17">
        <f t="shared" si="0"/>
        <v>149.2192</v>
      </c>
      <c r="I150" s="18">
        <f t="shared" si="1"/>
        <v>-0.2146357894736842</v>
      </c>
      <c r="J150" s="18">
        <f t="shared" si="2"/>
        <v>0.2146357894736842</v>
      </c>
      <c r="K150" s="11"/>
    </row>
    <row r="151" spans="1:11">
      <c r="A151" s="4">
        <v>28</v>
      </c>
      <c r="B151" s="4" t="s">
        <v>11</v>
      </c>
      <c r="C151" s="6" t="s">
        <v>8</v>
      </c>
      <c r="D151" s="6" t="s">
        <v>9</v>
      </c>
      <c r="E151" s="4" t="s">
        <v>10</v>
      </c>
      <c r="F151" s="6">
        <v>87</v>
      </c>
      <c r="G151" s="6">
        <v>170</v>
      </c>
      <c r="H151" s="17">
        <f t="shared" si="0"/>
        <v>156.01839999999999</v>
      </c>
      <c r="I151" s="18">
        <f t="shared" si="1"/>
        <v>-8.2244705882353025E-2</v>
      </c>
      <c r="J151" s="18">
        <f t="shared" si="2"/>
        <v>8.2244705882353025E-2</v>
      </c>
      <c r="K151" s="11"/>
    </row>
    <row r="152" spans="1:11">
      <c r="A152" s="4">
        <v>29</v>
      </c>
      <c r="B152" s="4" t="s">
        <v>11</v>
      </c>
      <c r="C152" s="6" t="s">
        <v>8</v>
      </c>
      <c r="D152" s="6" t="s">
        <v>9</v>
      </c>
      <c r="E152" s="4" t="s">
        <v>10</v>
      </c>
      <c r="F152" s="6">
        <v>90</v>
      </c>
      <c r="G152" s="6">
        <v>189</v>
      </c>
      <c r="H152" s="17">
        <f t="shared" si="0"/>
        <v>159.41800000000001</v>
      </c>
      <c r="I152" s="18">
        <f t="shared" ref="I152:I160" si="3">(H152-G152)/G152</f>
        <v>-0.15651851851851847</v>
      </c>
      <c r="J152" s="18">
        <f t="shared" si="2"/>
        <v>0.15651851851851847</v>
      </c>
      <c r="K152" s="11"/>
    </row>
    <row r="153" spans="1:11">
      <c r="A153" s="4">
        <v>31</v>
      </c>
      <c r="B153" s="4" t="s">
        <v>11</v>
      </c>
      <c r="C153" s="4" t="s">
        <v>17</v>
      </c>
      <c r="D153" s="4" t="s">
        <v>12</v>
      </c>
      <c r="E153" s="4" t="s">
        <v>10</v>
      </c>
      <c r="F153" s="6">
        <v>92</v>
      </c>
      <c r="G153" s="6">
        <v>195</v>
      </c>
      <c r="H153" s="17">
        <f t="shared" si="0"/>
        <v>161.68440000000001</v>
      </c>
      <c r="I153" s="18">
        <f t="shared" si="3"/>
        <v>-0.17084923076923073</v>
      </c>
      <c r="J153" s="18">
        <f t="shared" si="2"/>
        <v>0.17084923076923073</v>
      </c>
      <c r="K153" s="11"/>
    </row>
    <row r="154" spans="1:11">
      <c r="A154" s="4">
        <v>34</v>
      </c>
      <c r="B154" s="4" t="s">
        <v>11</v>
      </c>
      <c r="C154" s="6" t="s">
        <v>8</v>
      </c>
      <c r="D154" s="6" t="s">
        <v>9</v>
      </c>
      <c r="E154" s="4" t="s">
        <v>10</v>
      </c>
      <c r="F154" s="6">
        <v>102</v>
      </c>
      <c r="G154" s="6">
        <v>200</v>
      </c>
      <c r="H154" s="17">
        <f t="shared" si="0"/>
        <v>173.0164</v>
      </c>
      <c r="I154" s="18">
        <f t="shared" si="3"/>
        <v>-0.13491799999999998</v>
      </c>
      <c r="J154" s="18">
        <f t="shared" si="2"/>
        <v>0.13491799999999998</v>
      </c>
      <c r="K154" s="11"/>
    </row>
    <row r="155" spans="1:11">
      <c r="A155" s="4">
        <v>50</v>
      </c>
      <c r="B155" s="4" t="s">
        <v>11</v>
      </c>
      <c r="C155" s="6" t="s">
        <v>8</v>
      </c>
      <c r="D155" s="4" t="s">
        <v>12</v>
      </c>
      <c r="E155" s="4" t="s">
        <v>10</v>
      </c>
      <c r="F155" s="6">
        <v>127</v>
      </c>
      <c r="G155" s="6">
        <v>215</v>
      </c>
      <c r="H155" s="17">
        <f t="shared" si="0"/>
        <v>201.34640000000002</v>
      </c>
      <c r="I155" s="18">
        <f t="shared" si="3"/>
        <v>-6.3505116279069684E-2</v>
      </c>
      <c r="J155" s="18">
        <f t="shared" si="2"/>
        <v>6.3505116279069684E-2</v>
      </c>
      <c r="K155" s="11"/>
    </row>
    <row r="156" spans="1:11">
      <c r="A156" s="4">
        <v>53</v>
      </c>
      <c r="B156" s="4" t="s">
        <v>11</v>
      </c>
      <c r="C156" s="6" t="s">
        <v>8</v>
      </c>
      <c r="D156" s="6" t="s">
        <v>9</v>
      </c>
      <c r="E156" s="4" t="s">
        <v>10</v>
      </c>
      <c r="F156" s="6">
        <v>136</v>
      </c>
      <c r="G156" s="6">
        <v>220</v>
      </c>
      <c r="H156" s="17">
        <f t="shared" si="0"/>
        <v>211.54519999999999</v>
      </c>
      <c r="I156" s="18">
        <f t="shared" si="3"/>
        <v>-3.843090909090912E-2</v>
      </c>
      <c r="J156" s="18">
        <f t="shared" si="2"/>
        <v>3.843090909090912E-2</v>
      </c>
      <c r="K156" s="11"/>
    </row>
    <row r="157" spans="1:11">
      <c r="A157" s="4">
        <v>56</v>
      </c>
      <c r="B157" s="4" t="s">
        <v>11</v>
      </c>
      <c r="C157" s="6" t="s">
        <v>8</v>
      </c>
      <c r="D157" s="6" t="s">
        <v>9</v>
      </c>
      <c r="E157" s="4" t="s">
        <v>10</v>
      </c>
      <c r="F157" s="6">
        <v>148</v>
      </c>
      <c r="G157" s="6">
        <v>186</v>
      </c>
      <c r="H157" s="17">
        <f t="shared" si="0"/>
        <v>225.14359999999999</v>
      </c>
      <c r="I157" s="18">
        <f t="shared" si="3"/>
        <v>0.21044946236559137</v>
      </c>
      <c r="J157" s="18">
        <f t="shared" si="2"/>
        <v>0.21044946236559137</v>
      </c>
      <c r="K157" s="11"/>
    </row>
    <row r="158" spans="1:11">
      <c r="A158" s="4">
        <v>57</v>
      </c>
      <c r="B158" s="4" t="s">
        <v>11</v>
      </c>
      <c r="C158" s="6" t="s">
        <v>8</v>
      </c>
      <c r="D158" s="6" t="s">
        <v>9</v>
      </c>
      <c r="E158" s="4" t="s">
        <v>10</v>
      </c>
      <c r="F158" s="6">
        <v>152</v>
      </c>
      <c r="G158" s="6">
        <v>237</v>
      </c>
      <c r="H158" s="17">
        <f t="shared" si="0"/>
        <v>229.6764</v>
      </c>
      <c r="I158" s="18">
        <f t="shared" si="3"/>
        <v>-3.0901265822784806E-2</v>
      </c>
      <c r="J158" s="18">
        <f t="shared" si="2"/>
        <v>3.0901265822784806E-2</v>
      </c>
      <c r="K158" s="11"/>
    </row>
    <row r="159" spans="1:11">
      <c r="A159" s="4">
        <v>62</v>
      </c>
      <c r="B159" s="4" t="s">
        <v>11</v>
      </c>
      <c r="C159" s="6" t="s">
        <v>8</v>
      </c>
      <c r="D159" s="6" t="s">
        <v>9</v>
      </c>
      <c r="E159" s="4" t="s">
        <v>10</v>
      </c>
      <c r="F159" s="6">
        <v>160</v>
      </c>
      <c r="G159" s="6">
        <v>242</v>
      </c>
      <c r="H159" s="17">
        <f t="shared" si="0"/>
        <v>238.74200000000002</v>
      </c>
      <c r="I159" s="18">
        <f t="shared" si="3"/>
        <v>-1.3462809917355295E-2</v>
      </c>
      <c r="J159" s="18">
        <f t="shared" si="2"/>
        <v>1.3462809917355295E-2</v>
      </c>
      <c r="K159" s="11"/>
    </row>
    <row r="160" spans="1:11">
      <c r="A160" s="4">
        <v>65</v>
      </c>
      <c r="B160" s="4" t="s">
        <v>11</v>
      </c>
      <c r="C160" s="6" t="s">
        <v>8</v>
      </c>
      <c r="D160" s="6" t="s">
        <v>9</v>
      </c>
      <c r="E160" s="4" t="s">
        <v>10</v>
      </c>
      <c r="F160" s="6">
        <v>169</v>
      </c>
      <c r="G160" s="6">
        <v>215</v>
      </c>
      <c r="H160" s="17">
        <f t="shared" si="0"/>
        <v>248.9408</v>
      </c>
      <c r="I160" s="18">
        <f t="shared" si="3"/>
        <v>0.15786418604651162</v>
      </c>
      <c r="J160" s="18">
        <f t="shared" si="2"/>
        <v>0.15786418604651162</v>
      </c>
      <c r="K160" s="11"/>
    </row>
    <row r="163" spans="2:2" s="38" customFormat="1"/>
    <row r="164" spans="2:2" s="38" customFormat="1"/>
    <row r="165" spans="2:2" s="38" customFormat="1"/>
    <row r="166" spans="2:2" s="38" customFormat="1"/>
    <row r="167" spans="2:2" s="38" customFormat="1"/>
    <row r="168" spans="2:2" s="38" customFormat="1"/>
    <row r="169" spans="2:2" s="38" customFormat="1"/>
    <row r="170" spans="2:2" s="38" customFormat="1"/>
    <row r="171" spans="2:2" s="38" customFormat="1"/>
    <row r="172" spans="2:2" s="38" customFormat="1"/>
    <row r="173" spans="2:2" s="38" customFormat="1">
      <c r="B173" s="39"/>
    </row>
    <row r="174" spans="2:2" s="38" customFormat="1"/>
    <row r="175" spans="2:2" s="38" customFormat="1"/>
    <row r="176" spans="2:2" s="38" customFormat="1"/>
    <row r="177" spans="2:5" s="38" customFormat="1"/>
    <row r="178" spans="2:5" s="38" customFormat="1">
      <c r="B178" s="39"/>
      <c r="E178" s="40"/>
    </row>
    <row r="179" spans="2:5" s="38" customFormat="1"/>
    <row r="180" spans="2:5" s="38" customFormat="1"/>
    <row r="181" spans="2:5" s="38" customFormat="1"/>
    <row r="182" spans="2:5" s="38" customFormat="1"/>
    <row r="183" spans="2:5" s="38" customFormat="1">
      <c r="B183" s="39"/>
    </row>
    <row r="184" spans="2:5" s="38" customFormat="1"/>
    <row r="185" spans="2:5" s="38" customFormat="1"/>
    <row r="186" spans="2:5" s="38" customFormat="1"/>
    <row r="193" customFormat="1"/>
    <row r="194" customFormat="1"/>
    <row r="195" customFormat="1"/>
    <row r="196" customFormat="1"/>
    <row r="197" customFormat="1"/>
    <row r="198" customFormat="1"/>
    <row r="199" customFormat="1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1217-5F1E-2841-B0CC-D491E658A012}">
  <dimension ref="A2:K829"/>
  <sheetViews>
    <sheetView tabSelected="1" topLeftCell="A792" workbookViewId="0">
      <selection activeCell="A806" sqref="A806:XFD842"/>
    </sheetView>
  </sheetViews>
  <sheetFormatPr baseColWidth="10" defaultColWidth="10.6640625" defaultRowHeight="16"/>
  <sheetData>
    <row r="2" spans="1:8">
      <c r="A2" t="s">
        <v>58</v>
      </c>
      <c r="H2" t="s">
        <v>57</v>
      </c>
    </row>
    <row r="21" spans="1:7" ht="32">
      <c r="A21" s="1" t="s">
        <v>0</v>
      </c>
      <c r="B21" s="8" t="s">
        <v>1</v>
      </c>
      <c r="C21" s="7" t="s">
        <v>2</v>
      </c>
      <c r="D21" s="7" t="s">
        <v>3</v>
      </c>
      <c r="E21" s="9" t="s">
        <v>4</v>
      </c>
      <c r="F21" s="2" t="s">
        <v>5</v>
      </c>
      <c r="G21" s="2" t="s">
        <v>6</v>
      </c>
    </row>
    <row r="22" spans="1:7">
      <c r="A22" s="4">
        <v>5</v>
      </c>
      <c r="B22" s="4" t="s">
        <v>7</v>
      </c>
      <c r="C22" s="4" t="s">
        <v>15</v>
      </c>
      <c r="D22" s="6" t="s">
        <v>9</v>
      </c>
      <c r="E22" s="4" t="s">
        <v>16</v>
      </c>
      <c r="F22" s="6">
        <v>46</v>
      </c>
      <c r="G22" s="6">
        <v>1009</v>
      </c>
    </row>
    <row r="23" spans="1:7">
      <c r="A23" s="4">
        <v>7</v>
      </c>
      <c r="B23" s="4" t="s">
        <v>7</v>
      </c>
      <c r="C23" s="4" t="s">
        <v>15</v>
      </c>
      <c r="D23" s="4" t="s">
        <v>12</v>
      </c>
      <c r="E23" s="4" t="s">
        <v>16</v>
      </c>
      <c r="F23" s="4">
        <v>52</v>
      </c>
      <c r="G23" s="5">
        <v>274.09199999999998</v>
      </c>
    </row>
    <row r="24" spans="1:7">
      <c r="A24" s="4">
        <v>8</v>
      </c>
      <c r="B24" s="4" t="s">
        <v>7</v>
      </c>
      <c r="C24" s="4" t="s">
        <v>15</v>
      </c>
      <c r="D24" s="4" t="s">
        <v>12</v>
      </c>
      <c r="E24" s="4" t="s">
        <v>16</v>
      </c>
      <c r="F24" s="4">
        <v>61</v>
      </c>
      <c r="G24" s="5">
        <v>336.84199999999998</v>
      </c>
    </row>
    <row r="25" spans="1:7">
      <c r="A25" s="4">
        <v>10</v>
      </c>
      <c r="B25" s="4" t="s">
        <v>7</v>
      </c>
      <c r="C25" s="4" t="s">
        <v>15</v>
      </c>
      <c r="D25" s="4" t="s">
        <v>12</v>
      </c>
      <c r="E25" s="4" t="s">
        <v>16</v>
      </c>
      <c r="F25" s="4">
        <v>68</v>
      </c>
      <c r="G25" s="5">
        <v>512.04</v>
      </c>
    </row>
    <row r="26" spans="1:7">
      <c r="A26" s="4">
        <v>11</v>
      </c>
      <c r="B26" s="4" t="s">
        <v>7</v>
      </c>
      <c r="C26" s="4" t="s">
        <v>15</v>
      </c>
      <c r="D26" s="6" t="s">
        <v>9</v>
      </c>
      <c r="E26" s="4" t="s">
        <v>16</v>
      </c>
      <c r="F26" s="6">
        <v>68</v>
      </c>
      <c r="G26" s="6">
        <v>12702</v>
      </c>
    </row>
    <row r="27" spans="1:7">
      <c r="A27" s="4">
        <v>12</v>
      </c>
      <c r="B27" s="4" t="s">
        <v>7</v>
      </c>
      <c r="C27" s="4" t="s">
        <v>15</v>
      </c>
      <c r="D27" s="4" t="s">
        <v>12</v>
      </c>
      <c r="E27" s="4" t="s">
        <v>16</v>
      </c>
      <c r="F27" s="4">
        <v>70</v>
      </c>
      <c r="G27" s="5">
        <v>379.512</v>
      </c>
    </row>
    <row r="28" spans="1:7">
      <c r="A28" s="4">
        <v>13</v>
      </c>
      <c r="B28" s="4" t="s">
        <v>7</v>
      </c>
      <c r="C28" s="4" t="s">
        <v>15</v>
      </c>
      <c r="D28" s="4" t="s">
        <v>12</v>
      </c>
      <c r="E28" s="4" t="s">
        <v>16</v>
      </c>
      <c r="F28" s="4">
        <v>72</v>
      </c>
      <c r="G28" s="5">
        <v>397.58399999999995</v>
      </c>
    </row>
    <row r="29" spans="1:7">
      <c r="A29" s="4">
        <v>14</v>
      </c>
      <c r="B29" s="4" t="s">
        <v>7</v>
      </c>
      <c r="C29" s="4" t="s">
        <v>15</v>
      </c>
      <c r="D29" s="4" t="s">
        <v>12</v>
      </c>
      <c r="E29" s="4" t="s">
        <v>16</v>
      </c>
      <c r="F29" s="4">
        <v>73</v>
      </c>
      <c r="G29" s="5">
        <v>659.62799999999993</v>
      </c>
    </row>
    <row r="30" spans="1:7">
      <c r="A30" s="4">
        <v>15</v>
      </c>
      <c r="B30" s="4" t="s">
        <v>7</v>
      </c>
      <c r="C30" s="4" t="s">
        <v>15</v>
      </c>
      <c r="D30" s="4" t="s">
        <v>12</v>
      </c>
      <c r="E30" s="4" t="s">
        <v>16</v>
      </c>
      <c r="F30" s="4">
        <v>74</v>
      </c>
      <c r="G30" s="5">
        <v>482.92399999999998</v>
      </c>
    </row>
    <row r="31" spans="1:7">
      <c r="A31" s="4">
        <v>17</v>
      </c>
      <c r="B31" s="4" t="s">
        <v>7</v>
      </c>
      <c r="C31" s="4" t="s">
        <v>17</v>
      </c>
      <c r="D31" s="6" t="s">
        <v>14</v>
      </c>
      <c r="E31" s="4" t="s">
        <v>16</v>
      </c>
      <c r="F31" s="6">
        <v>76</v>
      </c>
      <c r="G31" s="6">
        <v>1100</v>
      </c>
    </row>
    <row r="32" spans="1:7">
      <c r="A32" s="4">
        <v>19</v>
      </c>
      <c r="B32" s="4" t="s">
        <v>7</v>
      </c>
      <c r="C32" s="4" t="s">
        <v>15</v>
      </c>
      <c r="D32" s="4" t="s">
        <v>12</v>
      </c>
      <c r="E32" s="4" t="s">
        <v>16</v>
      </c>
      <c r="F32" s="4">
        <v>79</v>
      </c>
      <c r="G32" s="5">
        <v>475.89599999999996</v>
      </c>
    </row>
    <row r="33" spans="1:7">
      <c r="A33" s="4">
        <v>21</v>
      </c>
      <c r="B33" s="4" t="s">
        <v>7</v>
      </c>
      <c r="C33" s="4" t="s">
        <v>15</v>
      </c>
      <c r="D33" s="6" t="s">
        <v>9</v>
      </c>
      <c r="E33" s="4" t="s">
        <v>16</v>
      </c>
      <c r="F33" s="6">
        <v>80</v>
      </c>
      <c r="G33" s="6">
        <v>2879</v>
      </c>
    </row>
    <row r="34" spans="1:7">
      <c r="A34" s="4">
        <v>23</v>
      </c>
      <c r="B34" s="4" t="s">
        <v>7</v>
      </c>
      <c r="C34" s="4" t="s">
        <v>15</v>
      </c>
      <c r="D34" s="4" t="s">
        <v>12</v>
      </c>
      <c r="E34" s="4" t="s">
        <v>16</v>
      </c>
      <c r="F34" s="4">
        <v>81</v>
      </c>
      <c r="G34" s="5">
        <v>691.25399999999991</v>
      </c>
    </row>
    <row r="35" spans="1:7">
      <c r="A35" s="4">
        <v>24</v>
      </c>
      <c r="B35" s="4" t="s">
        <v>7</v>
      </c>
      <c r="C35" s="4" t="s">
        <v>15</v>
      </c>
      <c r="D35" s="4" t="s">
        <v>12</v>
      </c>
      <c r="E35" s="4" t="s">
        <v>16</v>
      </c>
      <c r="F35" s="4">
        <v>83</v>
      </c>
      <c r="G35" s="5">
        <v>466.6592</v>
      </c>
    </row>
    <row r="36" spans="1:7">
      <c r="A36" s="4">
        <v>25</v>
      </c>
      <c r="B36" s="4" t="s">
        <v>7</v>
      </c>
      <c r="C36" s="4" t="s">
        <v>15</v>
      </c>
      <c r="D36" s="6" t="s">
        <v>9</v>
      </c>
      <c r="E36" s="4" t="s">
        <v>16</v>
      </c>
      <c r="F36" s="6">
        <v>83</v>
      </c>
      <c r="G36" s="6">
        <v>855</v>
      </c>
    </row>
    <row r="37" spans="1:7">
      <c r="A37" s="4">
        <v>26</v>
      </c>
      <c r="B37" s="4" t="s">
        <v>7</v>
      </c>
      <c r="C37" s="4" t="s">
        <v>15</v>
      </c>
      <c r="D37" s="4" t="s">
        <v>12</v>
      </c>
      <c r="E37" s="4" t="s">
        <v>16</v>
      </c>
      <c r="F37" s="4">
        <v>84</v>
      </c>
      <c r="G37" s="5">
        <v>421.67999999999995</v>
      </c>
    </row>
    <row r="38" spans="1:7">
      <c r="A38" s="4">
        <v>27</v>
      </c>
      <c r="B38" s="4" t="s">
        <v>7</v>
      </c>
      <c r="C38" s="4" t="s">
        <v>15</v>
      </c>
      <c r="D38" s="4" t="s">
        <v>12</v>
      </c>
      <c r="E38" s="4" t="s">
        <v>16</v>
      </c>
      <c r="F38" s="4">
        <v>85</v>
      </c>
      <c r="G38" s="5">
        <v>725.39</v>
      </c>
    </row>
    <row r="39" spans="1:7">
      <c r="A39" s="4">
        <v>30</v>
      </c>
      <c r="B39" s="4" t="s">
        <v>7</v>
      </c>
      <c r="C39" s="4" t="s">
        <v>15</v>
      </c>
      <c r="D39" s="4" t="s">
        <v>12</v>
      </c>
      <c r="E39" s="4" t="s">
        <v>16</v>
      </c>
      <c r="F39" s="4">
        <v>90</v>
      </c>
      <c r="G39" s="5">
        <v>406.61999999999995</v>
      </c>
    </row>
    <row r="40" spans="1:7">
      <c r="A40" s="4">
        <v>32</v>
      </c>
      <c r="B40" s="4" t="s">
        <v>7</v>
      </c>
      <c r="C40" s="4" t="s">
        <v>15</v>
      </c>
      <c r="D40" s="4" t="s">
        <v>12</v>
      </c>
      <c r="E40" s="4" t="s">
        <v>16</v>
      </c>
      <c r="F40" s="4">
        <v>92</v>
      </c>
      <c r="G40" s="5">
        <v>831.31200000000001</v>
      </c>
    </row>
    <row r="41" spans="1:7">
      <c r="A41" s="4">
        <v>33</v>
      </c>
      <c r="B41" s="4" t="s">
        <v>7</v>
      </c>
      <c r="C41" s="4" t="s">
        <v>15</v>
      </c>
      <c r="D41" s="4" t="s">
        <v>12</v>
      </c>
      <c r="E41" s="4" t="s">
        <v>16</v>
      </c>
      <c r="F41" s="4">
        <v>100</v>
      </c>
      <c r="G41" s="5">
        <v>702.79999999999984</v>
      </c>
    </row>
    <row r="42" spans="1:7">
      <c r="A42" s="4">
        <v>35</v>
      </c>
      <c r="B42" s="4" t="s">
        <v>7</v>
      </c>
      <c r="C42" s="4" t="s">
        <v>15</v>
      </c>
      <c r="D42" s="4" t="s">
        <v>12</v>
      </c>
      <c r="E42" s="4" t="s">
        <v>16</v>
      </c>
      <c r="F42" s="4">
        <v>102</v>
      </c>
      <c r="G42" s="5">
        <v>921.67199999999991</v>
      </c>
    </row>
    <row r="43" spans="1:7">
      <c r="A43" s="4">
        <v>36</v>
      </c>
      <c r="B43" s="4" t="s">
        <v>7</v>
      </c>
      <c r="C43" s="4" t="s">
        <v>15</v>
      </c>
      <c r="D43" s="4" t="s">
        <v>12</v>
      </c>
      <c r="E43" s="4" t="s">
        <v>16</v>
      </c>
      <c r="F43" s="4">
        <v>105</v>
      </c>
      <c r="G43" s="5">
        <v>2196.2953367875648</v>
      </c>
    </row>
    <row r="44" spans="1:7">
      <c r="A44" s="4">
        <v>37</v>
      </c>
      <c r="B44" s="4" t="s">
        <v>7</v>
      </c>
      <c r="C44" s="4" t="s">
        <v>15</v>
      </c>
      <c r="D44" s="4" t="s">
        <v>12</v>
      </c>
      <c r="E44" s="4" t="s">
        <v>16</v>
      </c>
      <c r="F44" s="4">
        <v>108</v>
      </c>
      <c r="G44" s="5">
        <v>650.59199999999998</v>
      </c>
    </row>
    <row r="45" spans="1:7">
      <c r="A45" s="4">
        <v>38</v>
      </c>
      <c r="B45" s="4" t="s">
        <v>7</v>
      </c>
      <c r="C45" s="4" t="s">
        <v>17</v>
      </c>
      <c r="D45" s="6" t="s">
        <v>14</v>
      </c>
      <c r="E45" s="4" t="s">
        <v>16</v>
      </c>
      <c r="F45" s="6">
        <v>108</v>
      </c>
      <c r="G45" s="6">
        <v>1276</v>
      </c>
    </row>
    <row r="46" spans="1:7">
      <c r="A46" s="4">
        <v>39</v>
      </c>
      <c r="B46" s="4" t="s">
        <v>7</v>
      </c>
      <c r="C46" s="4" t="s">
        <v>17</v>
      </c>
      <c r="D46" s="4" t="s">
        <v>12</v>
      </c>
      <c r="E46" s="4" t="s">
        <v>16</v>
      </c>
      <c r="F46" s="6">
        <v>110</v>
      </c>
      <c r="G46" s="6">
        <v>884</v>
      </c>
    </row>
    <row r="47" spans="1:7">
      <c r="A47" s="4">
        <v>40</v>
      </c>
      <c r="B47" s="4" t="s">
        <v>7</v>
      </c>
      <c r="C47" s="4" t="s">
        <v>15</v>
      </c>
      <c r="D47" s="4" t="s">
        <v>12</v>
      </c>
      <c r="E47" s="4" t="s">
        <v>16</v>
      </c>
      <c r="F47" s="4">
        <v>114</v>
      </c>
      <c r="G47" s="5">
        <v>502</v>
      </c>
    </row>
    <row r="48" spans="1:7">
      <c r="A48" s="4">
        <v>41</v>
      </c>
      <c r="B48" s="4" t="s">
        <v>7</v>
      </c>
      <c r="C48" s="4" t="s">
        <v>15</v>
      </c>
      <c r="D48" s="6" t="s">
        <v>9</v>
      </c>
      <c r="E48" s="4" t="s">
        <v>16</v>
      </c>
      <c r="F48" s="6">
        <v>114</v>
      </c>
      <c r="G48" s="6">
        <v>7290</v>
      </c>
    </row>
    <row r="49" spans="1:7">
      <c r="A49" s="4">
        <v>42</v>
      </c>
      <c r="B49" s="4" t="s">
        <v>11</v>
      </c>
      <c r="C49" s="6" t="s">
        <v>8</v>
      </c>
      <c r="D49" s="6" t="s">
        <v>9</v>
      </c>
      <c r="E49" s="4" t="s">
        <v>16</v>
      </c>
      <c r="F49" s="6">
        <v>115</v>
      </c>
      <c r="G49" s="6">
        <v>285</v>
      </c>
    </row>
    <row r="50" spans="1:7">
      <c r="A50" s="4">
        <v>43</v>
      </c>
      <c r="B50" s="4" t="s">
        <v>7</v>
      </c>
      <c r="C50" s="4" t="s">
        <v>15</v>
      </c>
      <c r="D50" s="4" t="s">
        <v>12</v>
      </c>
      <c r="E50" s="4" t="s">
        <v>16</v>
      </c>
      <c r="F50" s="4">
        <v>115</v>
      </c>
      <c r="G50" s="5">
        <v>692.75999999999988</v>
      </c>
    </row>
    <row r="51" spans="1:7">
      <c r="A51" s="4">
        <v>44</v>
      </c>
      <c r="B51" s="4" t="s">
        <v>7</v>
      </c>
      <c r="C51" s="4" t="s">
        <v>15</v>
      </c>
      <c r="D51" s="6" t="s">
        <v>9</v>
      </c>
      <c r="E51" s="4" t="s">
        <v>16</v>
      </c>
      <c r="F51" s="4">
        <v>115</v>
      </c>
      <c r="G51" s="5">
        <v>2711.6165803108811</v>
      </c>
    </row>
    <row r="52" spans="1:7">
      <c r="A52" s="4">
        <v>45</v>
      </c>
      <c r="B52" s="4" t="s">
        <v>7</v>
      </c>
      <c r="C52" s="4" t="s">
        <v>15</v>
      </c>
      <c r="D52" s="4" t="s">
        <v>12</v>
      </c>
      <c r="E52" s="4" t="s">
        <v>16</v>
      </c>
      <c r="F52" s="4">
        <v>117</v>
      </c>
      <c r="G52" s="5">
        <v>728.30159999999989</v>
      </c>
    </row>
    <row r="53" spans="1:7">
      <c r="A53" s="4">
        <v>46</v>
      </c>
      <c r="B53" s="4" t="s">
        <v>7</v>
      </c>
      <c r="C53" s="4" t="s">
        <v>15</v>
      </c>
      <c r="D53" s="4" t="s">
        <v>12</v>
      </c>
      <c r="E53" s="4" t="s">
        <v>16</v>
      </c>
      <c r="F53" s="4">
        <v>117</v>
      </c>
      <c r="G53" s="5">
        <v>998.47799999999984</v>
      </c>
    </row>
    <row r="54" spans="1:7">
      <c r="A54" s="4">
        <v>47</v>
      </c>
      <c r="B54" s="4" t="s">
        <v>7</v>
      </c>
      <c r="C54" s="4" t="s">
        <v>15</v>
      </c>
      <c r="D54" s="4" t="s">
        <v>12</v>
      </c>
      <c r="E54" s="4" t="s">
        <v>16</v>
      </c>
      <c r="F54" s="4">
        <v>118</v>
      </c>
      <c r="G54" s="5">
        <v>1795.0673575129535</v>
      </c>
    </row>
    <row r="55" spans="1:7">
      <c r="A55" s="4">
        <v>48</v>
      </c>
      <c r="B55" s="4" t="s">
        <v>7</v>
      </c>
      <c r="C55" s="4" t="s">
        <v>17</v>
      </c>
      <c r="D55" s="4" t="s">
        <v>12</v>
      </c>
      <c r="E55" s="4" t="s">
        <v>16</v>
      </c>
      <c r="F55" s="6">
        <v>122</v>
      </c>
      <c r="G55" s="6">
        <v>1045</v>
      </c>
    </row>
    <row r="56" spans="1:7">
      <c r="A56" s="4">
        <v>49</v>
      </c>
      <c r="B56" s="4" t="s">
        <v>7</v>
      </c>
      <c r="C56" s="4" t="s">
        <v>15</v>
      </c>
      <c r="D56" s="4" t="s">
        <v>12</v>
      </c>
      <c r="E56" s="4" t="s">
        <v>16</v>
      </c>
      <c r="F56" s="4">
        <v>125</v>
      </c>
      <c r="G56" s="5">
        <v>1004</v>
      </c>
    </row>
    <row r="57" spans="1:7">
      <c r="A57" s="4">
        <v>51</v>
      </c>
      <c r="B57" s="4" t="s">
        <v>7</v>
      </c>
      <c r="C57" s="4" t="s">
        <v>15</v>
      </c>
      <c r="D57" s="4" t="s">
        <v>12</v>
      </c>
      <c r="E57" s="4" t="s">
        <v>16</v>
      </c>
      <c r="F57" s="4">
        <v>127</v>
      </c>
      <c r="G57" s="5">
        <v>1020.064</v>
      </c>
    </row>
    <row r="58" spans="1:7">
      <c r="A58" s="4">
        <v>52</v>
      </c>
      <c r="B58" s="4" t="s">
        <v>7</v>
      </c>
      <c r="C58" s="4" t="s">
        <v>15</v>
      </c>
      <c r="D58" s="4" t="s">
        <v>12</v>
      </c>
      <c r="E58" s="4" t="s">
        <v>16</v>
      </c>
      <c r="F58" s="6">
        <v>135</v>
      </c>
      <c r="G58" s="6">
        <v>1053</v>
      </c>
    </row>
    <row r="59" spans="1:7">
      <c r="A59" s="4">
        <v>54</v>
      </c>
      <c r="B59" s="4" t="s">
        <v>7</v>
      </c>
      <c r="C59" s="4" t="s">
        <v>15</v>
      </c>
      <c r="D59" s="4" t="s">
        <v>12</v>
      </c>
      <c r="E59" s="4" t="s">
        <v>16</v>
      </c>
      <c r="F59" s="4">
        <v>136</v>
      </c>
      <c r="G59" s="5">
        <v>1024.08</v>
      </c>
    </row>
    <row r="60" spans="1:7">
      <c r="A60" s="4">
        <v>55</v>
      </c>
      <c r="B60" s="4" t="s">
        <v>7</v>
      </c>
      <c r="C60" s="4" t="s">
        <v>15</v>
      </c>
      <c r="D60" s="4" t="s">
        <v>12</v>
      </c>
      <c r="E60" s="4" t="s">
        <v>16</v>
      </c>
      <c r="F60" s="4">
        <v>143</v>
      </c>
      <c r="G60" s="5">
        <v>861.4319999999999</v>
      </c>
    </row>
    <row r="61" spans="1:7">
      <c r="A61" s="4">
        <v>58</v>
      </c>
      <c r="B61" s="4" t="s">
        <v>7</v>
      </c>
      <c r="C61" s="4" t="s">
        <v>15</v>
      </c>
      <c r="D61" s="6" t="s">
        <v>9</v>
      </c>
      <c r="E61" s="4" t="s">
        <v>16</v>
      </c>
      <c r="F61" s="6">
        <v>152</v>
      </c>
      <c r="G61" s="6">
        <v>2389</v>
      </c>
    </row>
    <row r="62" spans="1:7">
      <c r="A62" s="4">
        <v>59</v>
      </c>
      <c r="B62" s="4" t="s">
        <v>7</v>
      </c>
      <c r="C62" s="4" t="s">
        <v>15</v>
      </c>
      <c r="D62" s="4" t="s">
        <v>12</v>
      </c>
      <c r="E62" s="4" t="s">
        <v>16</v>
      </c>
      <c r="F62" s="4">
        <v>153</v>
      </c>
      <c r="G62" s="5">
        <v>1228.896</v>
      </c>
    </row>
    <row r="63" spans="1:7">
      <c r="A63" s="4">
        <v>60</v>
      </c>
      <c r="B63" s="4" t="s">
        <v>7</v>
      </c>
      <c r="C63" s="4" t="s">
        <v>15</v>
      </c>
      <c r="D63" s="4" t="s">
        <v>12</v>
      </c>
      <c r="E63" s="4" t="s">
        <v>16</v>
      </c>
      <c r="F63" s="6">
        <v>156</v>
      </c>
      <c r="G63" s="6">
        <v>1025</v>
      </c>
    </row>
    <row r="64" spans="1:7">
      <c r="A64" s="4">
        <v>61</v>
      </c>
      <c r="B64" s="4" t="s">
        <v>7</v>
      </c>
      <c r="C64" s="4" t="s">
        <v>15</v>
      </c>
      <c r="D64" s="6" t="s">
        <v>9</v>
      </c>
      <c r="E64" s="4" t="s">
        <v>16</v>
      </c>
      <c r="F64" s="4">
        <v>159</v>
      </c>
      <c r="G64" s="5">
        <v>3688.6352331606213</v>
      </c>
    </row>
    <row r="65" spans="1:7">
      <c r="A65" s="4">
        <v>63</v>
      </c>
      <c r="B65" s="4" t="s">
        <v>7</v>
      </c>
      <c r="C65" s="4" t="s">
        <v>15</v>
      </c>
      <c r="D65" s="4" t="s">
        <v>12</v>
      </c>
      <c r="E65" s="4" t="s">
        <v>16</v>
      </c>
      <c r="F65" s="4">
        <v>162</v>
      </c>
      <c r="G65" s="5">
        <v>1305</v>
      </c>
    </row>
    <row r="66" spans="1:7">
      <c r="A66" s="4">
        <v>64</v>
      </c>
      <c r="B66" s="4" t="s">
        <v>7</v>
      </c>
      <c r="C66" s="4" t="s">
        <v>15</v>
      </c>
      <c r="D66" s="4" t="s">
        <v>12</v>
      </c>
      <c r="E66" s="4" t="s">
        <v>16</v>
      </c>
      <c r="F66" s="4">
        <v>162</v>
      </c>
      <c r="G66" s="5">
        <v>1903.7602072538862</v>
      </c>
    </row>
    <row r="67" spans="1:7">
      <c r="A67" s="4">
        <v>66</v>
      </c>
      <c r="B67" s="4" t="s">
        <v>7</v>
      </c>
      <c r="C67" s="4" t="s">
        <v>15</v>
      </c>
      <c r="D67" s="6" t="s">
        <v>9</v>
      </c>
      <c r="E67" s="4" t="s">
        <v>16</v>
      </c>
      <c r="F67" s="6">
        <v>174</v>
      </c>
      <c r="G67" s="6">
        <v>1876</v>
      </c>
    </row>
    <row r="68" spans="1:7">
      <c r="A68" s="4">
        <v>67</v>
      </c>
      <c r="B68" s="4" t="s">
        <v>11</v>
      </c>
      <c r="C68" s="6" t="s">
        <v>8</v>
      </c>
      <c r="D68" s="6" t="s">
        <v>9</v>
      </c>
      <c r="E68" s="4" t="s">
        <v>16</v>
      </c>
      <c r="F68" s="6">
        <v>178</v>
      </c>
      <c r="G68" s="6">
        <v>290</v>
      </c>
    </row>
    <row r="69" spans="1:7">
      <c r="A69" s="4">
        <v>68</v>
      </c>
      <c r="B69" s="4" t="s">
        <v>7</v>
      </c>
      <c r="C69" s="4" t="s">
        <v>15</v>
      </c>
      <c r="D69" s="6" t="s">
        <v>9</v>
      </c>
      <c r="E69" s="4" t="s">
        <v>16</v>
      </c>
      <c r="F69" s="6">
        <v>179</v>
      </c>
      <c r="G69" s="6">
        <v>789</v>
      </c>
    </row>
    <row r="70" spans="1:7">
      <c r="A70" s="4">
        <v>69</v>
      </c>
      <c r="B70" s="4" t="s">
        <v>7</v>
      </c>
      <c r="C70" s="4" t="s">
        <v>15</v>
      </c>
      <c r="D70" s="6" t="s">
        <v>9</v>
      </c>
      <c r="E70" s="4" t="s">
        <v>16</v>
      </c>
      <c r="F70" s="6">
        <v>180</v>
      </c>
      <c r="G70" s="6">
        <v>3063</v>
      </c>
    </row>
    <row r="71" spans="1:7">
      <c r="A71" s="4">
        <v>70</v>
      </c>
      <c r="B71" s="4" t="s">
        <v>7</v>
      </c>
      <c r="C71" s="4" t="s">
        <v>15</v>
      </c>
      <c r="D71" s="6" t="s">
        <v>9</v>
      </c>
      <c r="E71" s="4" t="s">
        <v>16</v>
      </c>
      <c r="F71" s="6">
        <v>182</v>
      </c>
      <c r="G71" s="6">
        <v>2629.2</v>
      </c>
    </row>
    <row r="72" spans="1:7">
      <c r="A72" s="4">
        <v>71</v>
      </c>
      <c r="B72" s="4" t="s">
        <v>7</v>
      </c>
      <c r="C72" s="4" t="s">
        <v>15</v>
      </c>
      <c r="D72" s="6" t="s">
        <v>14</v>
      </c>
      <c r="E72" s="4" t="s">
        <v>16</v>
      </c>
      <c r="F72" s="6">
        <v>183</v>
      </c>
      <c r="G72" s="6">
        <v>460</v>
      </c>
    </row>
    <row r="73" spans="1:7">
      <c r="A73" s="4">
        <v>72</v>
      </c>
      <c r="B73" s="4" t="s">
        <v>7</v>
      </c>
      <c r="C73" s="4" t="s">
        <v>17</v>
      </c>
      <c r="D73" s="4" t="s">
        <v>12</v>
      </c>
      <c r="E73" s="4" t="s">
        <v>16</v>
      </c>
      <c r="F73" s="6">
        <v>189</v>
      </c>
      <c r="G73" s="6">
        <v>315</v>
      </c>
    </row>
    <row r="74" spans="1:7">
      <c r="A74" s="4">
        <v>73</v>
      </c>
      <c r="B74" s="4" t="s">
        <v>7</v>
      </c>
      <c r="C74" s="4" t="s">
        <v>15</v>
      </c>
      <c r="D74" s="4" t="s">
        <v>12</v>
      </c>
      <c r="E74" s="4" t="s">
        <v>16</v>
      </c>
      <c r="F74" s="4">
        <v>193</v>
      </c>
      <c r="G74" s="5">
        <v>734</v>
      </c>
    </row>
    <row r="75" spans="1:7">
      <c r="A75" s="4">
        <v>74</v>
      </c>
      <c r="B75" s="4" t="s">
        <v>7</v>
      </c>
      <c r="C75" s="4" t="s">
        <v>17</v>
      </c>
      <c r="D75" s="4" t="s">
        <v>12</v>
      </c>
      <c r="E75" s="4" t="s">
        <v>16</v>
      </c>
      <c r="F75" s="6">
        <v>195</v>
      </c>
      <c r="G75" s="6">
        <v>322</v>
      </c>
    </row>
    <row r="76" spans="1:7">
      <c r="A76" s="4">
        <v>75</v>
      </c>
      <c r="B76" s="4" t="s">
        <v>7</v>
      </c>
      <c r="C76" s="4" t="s">
        <v>15</v>
      </c>
      <c r="D76" s="4" t="s">
        <v>12</v>
      </c>
      <c r="E76" s="4" t="s">
        <v>16</v>
      </c>
      <c r="F76" s="4">
        <v>209</v>
      </c>
      <c r="G76" s="5">
        <v>1993.4419999999996</v>
      </c>
    </row>
    <row r="77" spans="1:7">
      <c r="A77" s="4">
        <v>76</v>
      </c>
      <c r="B77" s="4" t="s">
        <v>7</v>
      </c>
      <c r="C77" s="4" t="s">
        <v>15</v>
      </c>
      <c r="D77" s="6" t="s">
        <v>9</v>
      </c>
      <c r="E77" s="4" t="s">
        <v>16</v>
      </c>
      <c r="F77" s="4">
        <v>237</v>
      </c>
      <c r="G77" s="5">
        <v>3064.5450777202072</v>
      </c>
    </row>
    <row r="78" spans="1:7">
      <c r="A78" s="4">
        <v>77</v>
      </c>
      <c r="B78" s="4" t="s">
        <v>7</v>
      </c>
      <c r="C78" s="6" t="s">
        <v>8</v>
      </c>
      <c r="D78" s="6" t="s">
        <v>9</v>
      </c>
      <c r="E78" s="4" t="s">
        <v>16</v>
      </c>
      <c r="F78" s="6">
        <v>250</v>
      </c>
      <c r="G78" s="6">
        <v>400</v>
      </c>
    </row>
    <row r="79" spans="1:7">
      <c r="A79" s="4">
        <v>78</v>
      </c>
      <c r="B79" s="4" t="s">
        <v>7</v>
      </c>
      <c r="C79" s="4" t="s">
        <v>15</v>
      </c>
      <c r="D79" s="6" t="s">
        <v>9</v>
      </c>
      <c r="E79" s="4" t="s">
        <v>16</v>
      </c>
      <c r="F79" s="4">
        <v>297</v>
      </c>
      <c r="G79" s="5">
        <v>2683.6919999999996</v>
      </c>
    </row>
    <row r="80" spans="1:7">
      <c r="A80" s="4">
        <v>79</v>
      </c>
      <c r="B80" s="4" t="s">
        <v>7</v>
      </c>
      <c r="C80" s="4" t="s">
        <v>15</v>
      </c>
      <c r="D80" s="6" t="s">
        <v>9</v>
      </c>
      <c r="E80" s="4" t="s">
        <v>16</v>
      </c>
      <c r="F80" s="6">
        <v>297</v>
      </c>
      <c r="G80" s="6">
        <v>7449</v>
      </c>
    </row>
    <row r="81" spans="1:8">
      <c r="A81" s="4">
        <v>80</v>
      </c>
      <c r="B81" s="4" t="s">
        <v>7</v>
      </c>
      <c r="C81" s="4" t="s">
        <v>15</v>
      </c>
      <c r="D81" s="4" t="s">
        <v>12</v>
      </c>
      <c r="E81" s="4" t="s">
        <v>16</v>
      </c>
      <c r="F81" s="4">
        <v>310</v>
      </c>
      <c r="G81" s="5">
        <v>933.7199999999998</v>
      </c>
    </row>
    <row r="82" spans="1:8">
      <c r="A82" s="4">
        <v>81</v>
      </c>
      <c r="B82" s="4" t="s">
        <v>7</v>
      </c>
      <c r="C82" s="4" t="s">
        <v>15</v>
      </c>
      <c r="D82" s="6" t="s">
        <v>9</v>
      </c>
      <c r="E82" s="4" t="s">
        <v>16</v>
      </c>
      <c r="F82" s="6">
        <v>382</v>
      </c>
      <c r="G82" s="6">
        <v>22000</v>
      </c>
    </row>
    <row r="83" spans="1:8">
      <c r="A83" s="4">
        <v>82</v>
      </c>
      <c r="B83" s="4" t="s">
        <v>7</v>
      </c>
      <c r="C83" s="4" t="s">
        <v>17</v>
      </c>
      <c r="D83" s="6" t="s">
        <v>9</v>
      </c>
      <c r="E83" s="4" t="s">
        <v>16</v>
      </c>
      <c r="F83" s="6">
        <v>443</v>
      </c>
      <c r="G83" s="6">
        <v>796</v>
      </c>
    </row>
    <row r="84" spans="1:8">
      <c r="A84" s="4">
        <v>83</v>
      </c>
      <c r="B84" s="4" t="s">
        <v>7</v>
      </c>
      <c r="C84" s="4" t="s">
        <v>15</v>
      </c>
      <c r="D84" s="6" t="s">
        <v>9</v>
      </c>
      <c r="E84" s="4" t="s">
        <v>16</v>
      </c>
      <c r="F84" s="6">
        <v>460</v>
      </c>
      <c r="G84" s="6">
        <v>1667</v>
      </c>
    </row>
    <row r="85" spans="1:8">
      <c r="A85" s="4">
        <v>84</v>
      </c>
      <c r="B85" s="4" t="s">
        <v>7</v>
      </c>
      <c r="C85" s="6" t="s">
        <v>8</v>
      </c>
      <c r="D85" s="6" t="s">
        <v>9</v>
      </c>
      <c r="E85" s="4" t="s">
        <v>16</v>
      </c>
      <c r="F85" s="6">
        <v>500</v>
      </c>
      <c r="G85" s="6">
        <v>700</v>
      </c>
    </row>
    <row r="86" spans="1:8">
      <c r="A86" s="4">
        <v>85</v>
      </c>
      <c r="B86" s="4" t="s">
        <v>7</v>
      </c>
      <c r="C86" s="4" t="s">
        <v>15</v>
      </c>
      <c r="D86" s="6" t="s">
        <v>9</v>
      </c>
      <c r="E86" s="4" t="s">
        <v>16</v>
      </c>
      <c r="F86" s="4">
        <v>500</v>
      </c>
      <c r="G86" s="5">
        <v>2510</v>
      </c>
    </row>
    <row r="87" spans="1:8">
      <c r="A87" s="4">
        <v>86</v>
      </c>
      <c r="B87" s="4" t="s">
        <v>7</v>
      </c>
      <c r="C87" s="4" t="s">
        <v>15</v>
      </c>
      <c r="D87" s="6" t="s">
        <v>9</v>
      </c>
      <c r="E87" s="4" t="s">
        <v>16</v>
      </c>
      <c r="F87" s="6">
        <v>568</v>
      </c>
      <c r="G87" s="6">
        <v>5873</v>
      </c>
    </row>
    <row r="88" spans="1:8">
      <c r="A88" s="4">
        <v>87</v>
      </c>
      <c r="B88" s="4" t="s">
        <v>7</v>
      </c>
      <c r="C88" s="4" t="s">
        <v>15</v>
      </c>
      <c r="D88" s="6" t="s">
        <v>9</v>
      </c>
      <c r="E88" s="4" t="s">
        <v>16</v>
      </c>
      <c r="F88" s="6">
        <v>620</v>
      </c>
      <c r="G88" s="6">
        <v>18160</v>
      </c>
    </row>
    <row r="89" spans="1:8">
      <c r="A89" s="4">
        <v>88</v>
      </c>
      <c r="B89" s="4" t="s">
        <v>7</v>
      </c>
      <c r="C89" s="4" t="s">
        <v>15</v>
      </c>
      <c r="D89" s="6" t="s">
        <v>9</v>
      </c>
      <c r="E89" s="4" t="s">
        <v>16</v>
      </c>
      <c r="F89" s="6">
        <v>730</v>
      </c>
      <c r="G89" s="6">
        <v>20975</v>
      </c>
    </row>
    <row r="90" spans="1:8">
      <c r="A90" s="4">
        <v>89</v>
      </c>
      <c r="B90" s="4" t="s">
        <v>7</v>
      </c>
      <c r="C90" s="4" t="s">
        <v>15</v>
      </c>
      <c r="D90" s="6" t="s">
        <v>9</v>
      </c>
      <c r="E90" s="4" t="s">
        <v>16</v>
      </c>
      <c r="F90" s="6">
        <v>779</v>
      </c>
      <c r="G90" s="6">
        <v>25040</v>
      </c>
    </row>
    <row r="91" spans="1:8">
      <c r="A91" s="4">
        <v>90</v>
      </c>
      <c r="B91" s="4" t="s">
        <v>7</v>
      </c>
      <c r="C91" s="4" t="s">
        <v>15</v>
      </c>
      <c r="D91" s="6" t="s">
        <v>14</v>
      </c>
      <c r="E91" s="4" t="s">
        <v>16</v>
      </c>
      <c r="F91" s="6">
        <v>849</v>
      </c>
      <c r="G91" s="6">
        <v>1874</v>
      </c>
    </row>
    <row r="93" spans="1:8">
      <c r="A93" t="s">
        <v>18</v>
      </c>
    </row>
    <row r="94" spans="1:8" ht="20">
      <c r="A94" s="13" t="s">
        <v>19</v>
      </c>
    </row>
    <row r="95" spans="1:8" ht="17">
      <c r="A95" s="14" t="s">
        <v>20</v>
      </c>
      <c r="B95" s="14" t="s">
        <v>21</v>
      </c>
      <c r="C95" s="14" t="s">
        <v>22</v>
      </c>
      <c r="D95" s="14" t="s">
        <v>23</v>
      </c>
      <c r="E95" s="14" t="s">
        <v>24</v>
      </c>
      <c r="F95" s="14" t="s">
        <v>25</v>
      </c>
      <c r="G95" s="14" t="s">
        <v>26</v>
      </c>
      <c r="H95" s="14"/>
    </row>
    <row r="96" spans="1:8" ht="17">
      <c r="A96" s="14" t="s">
        <v>5</v>
      </c>
      <c r="B96" s="14">
        <v>70</v>
      </c>
      <c r="C96" s="14">
        <v>197.01</v>
      </c>
      <c r="D96" s="14">
        <v>177.65</v>
      </c>
      <c r="E96" s="14">
        <v>46</v>
      </c>
      <c r="F96" s="14">
        <v>126</v>
      </c>
      <c r="G96" s="14">
        <v>849</v>
      </c>
      <c r="H96" s="14"/>
    </row>
    <row r="98" spans="1:8" ht="20">
      <c r="A98" s="13" t="s">
        <v>19</v>
      </c>
    </row>
    <row r="99" spans="1:8" ht="17">
      <c r="A99" s="14" t="s">
        <v>20</v>
      </c>
      <c r="B99" s="14" t="s">
        <v>21</v>
      </c>
      <c r="C99" s="14" t="s">
        <v>22</v>
      </c>
      <c r="D99" s="14" t="s">
        <v>23</v>
      </c>
      <c r="E99" s="14" t="s">
        <v>24</v>
      </c>
      <c r="F99" s="14" t="s">
        <v>25</v>
      </c>
      <c r="G99" s="14" t="s">
        <v>26</v>
      </c>
      <c r="H99" s="14"/>
    </row>
    <row r="100" spans="1:8" ht="17">
      <c r="A100" s="14" t="s">
        <v>6</v>
      </c>
      <c r="B100" s="14">
        <v>70</v>
      </c>
      <c r="C100" s="14">
        <v>2734.1</v>
      </c>
      <c r="D100" s="14">
        <v>5091.8999999999996</v>
      </c>
      <c r="E100" s="14">
        <v>274</v>
      </c>
      <c r="F100" s="14">
        <v>1001</v>
      </c>
      <c r="G100" s="14">
        <v>25040</v>
      </c>
      <c r="H100" s="14"/>
    </row>
    <row r="103" spans="1:8">
      <c r="A103" t="s">
        <v>28</v>
      </c>
    </row>
    <row r="104" spans="1:8" ht="20">
      <c r="A104" s="13" t="s">
        <v>28</v>
      </c>
    </row>
    <row r="105" spans="1:8" ht="17">
      <c r="A105" s="14" t="s">
        <v>30</v>
      </c>
      <c r="B105" s="14" t="s">
        <v>6</v>
      </c>
      <c r="C105" s="14"/>
      <c r="D105" s="14"/>
      <c r="E105" s="14"/>
      <c r="F105" s="14"/>
      <c r="G105" s="14"/>
    </row>
    <row r="106" spans="1:8" ht="17">
      <c r="A106" s="14">
        <v>5</v>
      </c>
      <c r="B106" s="14">
        <v>12702</v>
      </c>
      <c r="C106" s="14"/>
      <c r="D106" s="14"/>
      <c r="E106" s="14"/>
      <c r="F106" s="14"/>
      <c r="G106" s="14"/>
    </row>
    <row r="107" spans="1:8" ht="17">
      <c r="A107" s="14">
        <v>61</v>
      </c>
      <c r="B107" s="14">
        <v>22000</v>
      </c>
      <c r="C107" s="14"/>
      <c r="D107" s="14"/>
      <c r="E107" s="14"/>
      <c r="F107" s="14"/>
      <c r="G107" s="14"/>
    </row>
    <row r="108" spans="1:8" ht="17">
      <c r="A108" s="14">
        <v>67</v>
      </c>
      <c r="B108" s="14">
        <v>18160</v>
      </c>
      <c r="C108" s="14"/>
      <c r="D108" s="14"/>
      <c r="E108" s="14"/>
      <c r="F108" s="14"/>
      <c r="G108" s="14"/>
    </row>
    <row r="109" spans="1:8" ht="17">
      <c r="A109" s="14">
        <v>68</v>
      </c>
      <c r="B109" s="14">
        <v>20975</v>
      </c>
      <c r="C109" s="14"/>
      <c r="D109" s="14"/>
      <c r="E109" s="14"/>
      <c r="F109" s="14"/>
      <c r="G109" s="14"/>
    </row>
    <row r="110" spans="1:8" ht="17">
      <c r="A110" s="14">
        <v>69</v>
      </c>
      <c r="B110" s="14">
        <v>25040</v>
      </c>
      <c r="C110" s="14"/>
      <c r="D110" s="14"/>
      <c r="E110" s="14"/>
      <c r="F110" s="14"/>
      <c r="G110" s="14"/>
    </row>
    <row r="111" spans="1:8" ht="17">
      <c r="A111" s="14">
        <v>70</v>
      </c>
      <c r="B111" s="14">
        <v>1874</v>
      </c>
      <c r="C111" s="14"/>
      <c r="D111" s="14"/>
      <c r="E111" s="14"/>
      <c r="F111" s="14"/>
      <c r="G111" s="14"/>
    </row>
    <row r="112" spans="1:8" ht="17">
      <c r="A112" s="16"/>
    </row>
    <row r="114" spans="1:8" ht="32">
      <c r="A114" s="1" t="s">
        <v>0</v>
      </c>
      <c r="B114" s="8" t="s">
        <v>1</v>
      </c>
      <c r="C114" s="7" t="s">
        <v>2</v>
      </c>
      <c r="D114" s="7" t="s">
        <v>3</v>
      </c>
      <c r="E114" s="9" t="s">
        <v>4</v>
      </c>
      <c r="F114" s="2" t="s">
        <v>5</v>
      </c>
      <c r="G114" s="2" t="s">
        <v>6</v>
      </c>
    </row>
    <row r="115" spans="1:8">
      <c r="A115" s="4">
        <v>5</v>
      </c>
      <c r="B115" s="4" t="s">
        <v>7</v>
      </c>
      <c r="C115" s="4" t="s">
        <v>15</v>
      </c>
      <c r="D115" s="6" t="s">
        <v>9</v>
      </c>
      <c r="E115" s="4" t="s">
        <v>16</v>
      </c>
      <c r="F115" s="6">
        <v>46</v>
      </c>
      <c r="G115" s="6">
        <v>1009</v>
      </c>
    </row>
    <row r="116" spans="1:8">
      <c r="A116" s="4">
        <v>7</v>
      </c>
      <c r="B116" s="4" t="s">
        <v>7</v>
      </c>
      <c r="C116" s="4" t="s">
        <v>15</v>
      </c>
      <c r="D116" s="4" t="s">
        <v>12</v>
      </c>
      <c r="E116" s="4" t="s">
        <v>16</v>
      </c>
      <c r="F116" s="4">
        <v>52</v>
      </c>
      <c r="G116" s="5">
        <v>274.09199999999998</v>
      </c>
    </row>
    <row r="117" spans="1:8">
      <c r="A117" s="4">
        <v>8</v>
      </c>
      <c r="B117" s="4" t="s">
        <v>7</v>
      </c>
      <c r="C117" s="4" t="s">
        <v>15</v>
      </c>
      <c r="D117" s="4" t="s">
        <v>12</v>
      </c>
      <c r="E117" s="4" t="s">
        <v>16</v>
      </c>
      <c r="F117" s="4">
        <v>61</v>
      </c>
      <c r="G117" s="5">
        <v>336.84199999999998</v>
      </c>
    </row>
    <row r="118" spans="1:8">
      <c r="A118" s="4">
        <v>10</v>
      </c>
      <c r="B118" s="4" t="s">
        <v>7</v>
      </c>
      <c r="C118" s="4" t="s">
        <v>15</v>
      </c>
      <c r="D118" s="4" t="s">
        <v>12</v>
      </c>
      <c r="E118" s="4" t="s">
        <v>16</v>
      </c>
      <c r="F118" s="4">
        <v>68</v>
      </c>
      <c r="G118" s="5">
        <v>512.04</v>
      </c>
    </row>
    <row r="119" spans="1:8">
      <c r="A119" s="4">
        <v>11</v>
      </c>
      <c r="B119" s="4" t="s">
        <v>7</v>
      </c>
      <c r="C119" s="4" t="s">
        <v>15</v>
      </c>
      <c r="D119" s="6" t="s">
        <v>9</v>
      </c>
      <c r="E119" s="4" t="s">
        <v>16</v>
      </c>
      <c r="F119" s="6">
        <v>68</v>
      </c>
      <c r="G119" s="6">
        <v>12702</v>
      </c>
      <c r="H119" s="20" t="s">
        <v>31</v>
      </c>
    </row>
    <row r="120" spans="1:8">
      <c r="A120" s="4">
        <v>12</v>
      </c>
      <c r="B120" s="4" t="s">
        <v>7</v>
      </c>
      <c r="C120" s="4" t="s">
        <v>15</v>
      </c>
      <c r="D120" s="4" t="s">
        <v>12</v>
      </c>
      <c r="E120" s="4" t="s">
        <v>16</v>
      </c>
      <c r="F120" s="4">
        <v>70</v>
      </c>
      <c r="G120" s="5">
        <v>379.512</v>
      </c>
    </row>
    <row r="121" spans="1:8">
      <c r="A121" s="4">
        <v>13</v>
      </c>
      <c r="B121" s="4" t="s">
        <v>7</v>
      </c>
      <c r="C121" s="4" t="s">
        <v>15</v>
      </c>
      <c r="D121" s="4" t="s">
        <v>12</v>
      </c>
      <c r="E121" s="4" t="s">
        <v>16</v>
      </c>
      <c r="F121" s="4">
        <v>72</v>
      </c>
      <c r="G121" s="5">
        <v>397.58399999999995</v>
      </c>
    </row>
    <row r="122" spans="1:8">
      <c r="A122" s="4">
        <v>14</v>
      </c>
      <c r="B122" s="4" t="s">
        <v>7</v>
      </c>
      <c r="C122" s="4" t="s">
        <v>15</v>
      </c>
      <c r="D122" s="4" t="s">
        <v>12</v>
      </c>
      <c r="E122" s="4" t="s">
        <v>16</v>
      </c>
      <c r="F122" s="4">
        <v>73</v>
      </c>
      <c r="G122" s="5">
        <v>659.62799999999993</v>
      </c>
    </row>
    <row r="123" spans="1:8">
      <c r="A123" s="4">
        <v>15</v>
      </c>
      <c r="B123" s="4" t="s">
        <v>7</v>
      </c>
      <c r="C123" s="4" t="s">
        <v>15</v>
      </c>
      <c r="D123" s="4" t="s">
        <v>12</v>
      </c>
      <c r="E123" s="4" t="s">
        <v>16</v>
      </c>
      <c r="F123" s="4">
        <v>74</v>
      </c>
      <c r="G123" s="5">
        <v>482.92399999999998</v>
      </c>
    </row>
    <row r="124" spans="1:8">
      <c r="A124" s="4">
        <v>17</v>
      </c>
      <c r="B124" s="4" t="s">
        <v>7</v>
      </c>
      <c r="C124" s="4" t="s">
        <v>17</v>
      </c>
      <c r="D124" s="6" t="s">
        <v>14</v>
      </c>
      <c r="E124" s="4" t="s">
        <v>16</v>
      </c>
      <c r="F124" s="6">
        <v>76</v>
      </c>
      <c r="G124" s="6">
        <v>1100</v>
      </c>
    </row>
    <row r="125" spans="1:8">
      <c r="A125" s="4">
        <v>19</v>
      </c>
      <c r="B125" s="4" t="s">
        <v>7</v>
      </c>
      <c r="C125" s="4" t="s">
        <v>15</v>
      </c>
      <c r="D125" s="4" t="s">
        <v>12</v>
      </c>
      <c r="E125" s="4" t="s">
        <v>16</v>
      </c>
      <c r="F125" s="4">
        <v>79</v>
      </c>
      <c r="G125" s="5">
        <v>475.89599999999996</v>
      </c>
    </row>
    <row r="126" spans="1:8">
      <c r="A126" s="4">
        <v>21</v>
      </c>
      <c r="B126" s="4" t="s">
        <v>7</v>
      </c>
      <c r="C126" s="4" t="s">
        <v>15</v>
      </c>
      <c r="D126" s="6" t="s">
        <v>9</v>
      </c>
      <c r="E126" s="4" t="s">
        <v>16</v>
      </c>
      <c r="F126" s="6">
        <v>80</v>
      </c>
      <c r="G126" s="6">
        <v>2879</v>
      </c>
    </row>
    <row r="127" spans="1:8">
      <c r="A127" s="4">
        <v>23</v>
      </c>
      <c r="B127" s="4" t="s">
        <v>7</v>
      </c>
      <c r="C127" s="4" t="s">
        <v>15</v>
      </c>
      <c r="D127" s="4" t="s">
        <v>12</v>
      </c>
      <c r="E127" s="4" t="s">
        <v>16</v>
      </c>
      <c r="F127" s="4">
        <v>81</v>
      </c>
      <c r="G127" s="5">
        <v>691.25399999999991</v>
      </c>
    </row>
    <row r="128" spans="1:8">
      <c r="A128" s="4">
        <v>24</v>
      </c>
      <c r="B128" s="4" t="s">
        <v>7</v>
      </c>
      <c r="C128" s="4" t="s">
        <v>15</v>
      </c>
      <c r="D128" s="4" t="s">
        <v>12</v>
      </c>
      <c r="E128" s="4" t="s">
        <v>16</v>
      </c>
      <c r="F128" s="4">
        <v>83</v>
      </c>
      <c r="G128" s="5">
        <v>466.6592</v>
      </c>
    </row>
    <row r="129" spans="1:7">
      <c r="A129" s="4">
        <v>25</v>
      </c>
      <c r="B129" s="4" t="s">
        <v>7</v>
      </c>
      <c r="C129" s="4" t="s">
        <v>15</v>
      </c>
      <c r="D129" s="6" t="s">
        <v>9</v>
      </c>
      <c r="E129" s="4" t="s">
        <v>16</v>
      </c>
      <c r="F129" s="6">
        <v>83</v>
      </c>
      <c r="G129" s="6">
        <v>855</v>
      </c>
    </row>
    <row r="130" spans="1:7">
      <c r="A130" s="4">
        <v>26</v>
      </c>
      <c r="B130" s="4" t="s">
        <v>7</v>
      </c>
      <c r="C130" s="4" t="s">
        <v>15</v>
      </c>
      <c r="D130" s="4" t="s">
        <v>12</v>
      </c>
      <c r="E130" s="4" t="s">
        <v>16</v>
      </c>
      <c r="F130" s="4">
        <v>84</v>
      </c>
      <c r="G130" s="5">
        <v>421.67999999999995</v>
      </c>
    </row>
    <row r="131" spans="1:7">
      <c r="A131" s="4">
        <v>27</v>
      </c>
      <c r="B131" s="4" t="s">
        <v>7</v>
      </c>
      <c r="C131" s="4" t="s">
        <v>15</v>
      </c>
      <c r="D131" s="4" t="s">
        <v>12</v>
      </c>
      <c r="E131" s="4" t="s">
        <v>16</v>
      </c>
      <c r="F131" s="4">
        <v>85</v>
      </c>
      <c r="G131" s="5">
        <v>725.39</v>
      </c>
    </row>
    <row r="132" spans="1:7">
      <c r="A132" s="4">
        <v>30</v>
      </c>
      <c r="B132" s="4" t="s">
        <v>7</v>
      </c>
      <c r="C132" s="4" t="s">
        <v>15</v>
      </c>
      <c r="D132" s="4" t="s">
        <v>12</v>
      </c>
      <c r="E132" s="4" t="s">
        <v>16</v>
      </c>
      <c r="F132" s="4">
        <v>90</v>
      </c>
      <c r="G132" s="5">
        <v>406.61999999999995</v>
      </c>
    </row>
    <row r="133" spans="1:7">
      <c r="A133" s="4">
        <v>32</v>
      </c>
      <c r="B133" s="4" t="s">
        <v>7</v>
      </c>
      <c r="C133" s="4" t="s">
        <v>15</v>
      </c>
      <c r="D133" s="4" t="s">
        <v>12</v>
      </c>
      <c r="E133" s="4" t="s">
        <v>16</v>
      </c>
      <c r="F133" s="4">
        <v>92</v>
      </c>
      <c r="G133" s="5">
        <v>831.31200000000001</v>
      </c>
    </row>
    <row r="134" spans="1:7">
      <c r="A134" s="4">
        <v>33</v>
      </c>
      <c r="B134" s="4" t="s">
        <v>7</v>
      </c>
      <c r="C134" s="4" t="s">
        <v>15</v>
      </c>
      <c r="D134" s="4" t="s">
        <v>12</v>
      </c>
      <c r="E134" s="4" t="s">
        <v>16</v>
      </c>
      <c r="F134" s="4">
        <v>100</v>
      </c>
      <c r="G134" s="5">
        <v>702.79999999999984</v>
      </c>
    </row>
    <row r="135" spans="1:7">
      <c r="A135" s="4">
        <v>35</v>
      </c>
      <c r="B135" s="4" t="s">
        <v>7</v>
      </c>
      <c r="C135" s="4" t="s">
        <v>15</v>
      </c>
      <c r="D135" s="4" t="s">
        <v>12</v>
      </c>
      <c r="E135" s="4" t="s">
        <v>16</v>
      </c>
      <c r="F135" s="4">
        <v>102</v>
      </c>
      <c r="G135" s="5">
        <v>921.67199999999991</v>
      </c>
    </row>
    <row r="136" spans="1:7">
      <c r="A136" s="4">
        <v>36</v>
      </c>
      <c r="B136" s="4" t="s">
        <v>7</v>
      </c>
      <c r="C136" s="4" t="s">
        <v>15</v>
      </c>
      <c r="D136" s="4" t="s">
        <v>12</v>
      </c>
      <c r="E136" s="4" t="s">
        <v>16</v>
      </c>
      <c r="F136" s="4">
        <v>105</v>
      </c>
      <c r="G136" s="5">
        <v>2196.2953367875648</v>
      </c>
    </row>
    <row r="137" spans="1:7">
      <c r="A137" s="4">
        <v>37</v>
      </c>
      <c r="B137" s="4" t="s">
        <v>7</v>
      </c>
      <c r="C137" s="4" t="s">
        <v>15</v>
      </c>
      <c r="D137" s="4" t="s">
        <v>12</v>
      </c>
      <c r="E137" s="4" t="s">
        <v>16</v>
      </c>
      <c r="F137" s="4">
        <v>108</v>
      </c>
      <c r="G137" s="5">
        <v>650.59199999999998</v>
      </c>
    </row>
    <row r="138" spans="1:7">
      <c r="A138" s="4">
        <v>38</v>
      </c>
      <c r="B138" s="4" t="s">
        <v>7</v>
      </c>
      <c r="C138" s="4" t="s">
        <v>17</v>
      </c>
      <c r="D138" s="6" t="s">
        <v>14</v>
      </c>
      <c r="E138" s="4" t="s">
        <v>16</v>
      </c>
      <c r="F138" s="6">
        <v>108</v>
      </c>
      <c r="G138" s="6">
        <v>1276</v>
      </c>
    </row>
    <row r="139" spans="1:7">
      <c r="A139" s="4">
        <v>39</v>
      </c>
      <c r="B139" s="4" t="s">
        <v>7</v>
      </c>
      <c r="C139" s="4" t="s">
        <v>17</v>
      </c>
      <c r="D139" s="4" t="s">
        <v>12</v>
      </c>
      <c r="E139" s="4" t="s">
        <v>16</v>
      </c>
      <c r="F139" s="6">
        <v>110</v>
      </c>
      <c r="G139" s="6">
        <v>884</v>
      </c>
    </row>
    <row r="140" spans="1:7">
      <c r="A140" s="4">
        <v>40</v>
      </c>
      <c r="B140" s="4" t="s">
        <v>7</v>
      </c>
      <c r="C140" s="4" t="s">
        <v>15</v>
      </c>
      <c r="D140" s="4" t="s">
        <v>12</v>
      </c>
      <c r="E140" s="4" t="s">
        <v>16</v>
      </c>
      <c r="F140" s="4">
        <v>114</v>
      </c>
      <c r="G140" s="5">
        <v>502</v>
      </c>
    </row>
    <row r="141" spans="1:7">
      <c r="A141" s="4">
        <v>41</v>
      </c>
      <c r="B141" s="4" t="s">
        <v>7</v>
      </c>
      <c r="C141" s="4" t="s">
        <v>15</v>
      </c>
      <c r="D141" s="6" t="s">
        <v>9</v>
      </c>
      <c r="E141" s="4" t="s">
        <v>16</v>
      </c>
      <c r="F141" s="6">
        <v>114</v>
      </c>
      <c r="G141" s="6">
        <v>7290</v>
      </c>
    </row>
    <row r="142" spans="1:7">
      <c r="A142" s="4">
        <v>42</v>
      </c>
      <c r="B142" s="4" t="s">
        <v>11</v>
      </c>
      <c r="C142" s="6" t="s">
        <v>8</v>
      </c>
      <c r="D142" s="6" t="s">
        <v>9</v>
      </c>
      <c r="E142" s="4" t="s">
        <v>16</v>
      </c>
      <c r="F142" s="6">
        <v>115</v>
      </c>
      <c r="G142" s="6">
        <v>285</v>
      </c>
    </row>
    <row r="143" spans="1:7">
      <c r="A143" s="4">
        <v>43</v>
      </c>
      <c r="B143" s="4" t="s">
        <v>7</v>
      </c>
      <c r="C143" s="4" t="s">
        <v>15</v>
      </c>
      <c r="D143" s="4" t="s">
        <v>12</v>
      </c>
      <c r="E143" s="4" t="s">
        <v>16</v>
      </c>
      <c r="F143" s="4">
        <v>115</v>
      </c>
      <c r="G143" s="5">
        <v>692.75999999999988</v>
      </c>
    </row>
    <row r="144" spans="1:7">
      <c r="A144" s="4">
        <v>44</v>
      </c>
      <c r="B144" s="4" t="s">
        <v>7</v>
      </c>
      <c r="C144" s="4" t="s">
        <v>15</v>
      </c>
      <c r="D144" s="6" t="s">
        <v>9</v>
      </c>
      <c r="E144" s="4" t="s">
        <v>16</v>
      </c>
      <c r="F144" s="4">
        <v>115</v>
      </c>
      <c r="G144" s="5">
        <v>2711.6165803108811</v>
      </c>
    </row>
    <row r="145" spans="1:7">
      <c r="A145" s="4">
        <v>45</v>
      </c>
      <c r="B145" s="4" t="s">
        <v>7</v>
      </c>
      <c r="C145" s="4" t="s">
        <v>15</v>
      </c>
      <c r="D145" s="4" t="s">
        <v>12</v>
      </c>
      <c r="E145" s="4" t="s">
        <v>16</v>
      </c>
      <c r="F145" s="4">
        <v>117</v>
      </c>
      <c r="G145" s="5">
        <v>728.30159999999989</v>
      </c>
    </row>
    <row r="146" spans="1:7">
      <c r="A146" s="4">
        <v>46</v>
      </c>
      <c r="B146" s="4" t="s">
        <v>7</v>
      </c>
      <c r="C146" s="4" t="s">
        <v>15</v>
      </c>
      <c r="D146" s="4" t="s">
        <v>12</v>
      </c>
      <c r="E146" s="4" t="s">
        <v>16</v>
      </c>
      <c r="F146" s="4">
        <v>117</v>
      </c>
      <c r="G146" s="5">
        <v>998.47799999999984</v>
      </c>
    </row>
    <row r="147" spans="1:7">
      <c r="A147" s="4">
        <v>47</v>
      </c>
      <c r="B147" s="4" t="s">
        <v>7</v>
      </c>
      <c r="C147" s="4" t="s">
        <v>15</v>
      </c>
      <c r="D147" s="4" t="s">
        <v>12</v>
      </c>
      <c r="E147" s="4" t="s">
        <v>16</v>
      </c>
      <c r="F147" s="4">
        <v>118</v>
      </c>
      <c r="G147" s="5">
        <v>1795.0673575129535</v>
      </c>
    </row>
    <row r="148" spans="1:7">
      <c r="A148" s="4">
        <v>48</v>
      </c>
      <c r="B148" s="4" t="s">
        <v>7</v>
      </c>
      <c r="C148" s="4" t="s">
        <v>17</v>
      </c>
      <c r="D148" s="4" t="s">
        <v>12</v>
      </c>
      <c r="E148" s="4" t="s">
        <v>16</v>
      </c>
      <c r="F148" s="6">
        <v>122</v>
      </c>
      <c r="G148" s="6">
        <v>1045</v>
      </c>
    </row>
    <row r="149" spans="1:7">
      <c r="A149" s="4">
        <v>49</v>
      </c>
      <c r="B149" s="4" t="s">
        <v>7</v>
      </c>
      <c r="C149" s="4" t="s">
        <v>15</v>
      </c>
      <c r="D149" s="4" t="s">
        <v>12</v>
      </c>
      <c r="E149" s="4" t="s">
        <v>16</v>
      </c>
      <c r="F149" s="4">
        <v>125</v>
      </c>
      <c r="G149" s="5">
        <v>1004</v>
      </c>
    </row>
    <row r="150" spans="1:7">
      <c r="A150" s="4">
        <v>51</v>
      </c>
      <c r="B150" s="4" t="s">
        <v>7</v>
      </c>
      <c r="C150" s="4" t="s">
        <v>15</v>
      </c>
      <c r="D150" s="4" t="s">
        <v>12</v>
      </c>
      <c r="E150" s="4" t="s">
        <v>16</v>
      </c>
      <c r="F150" s="4">
        <v>127</v>
      </c>
      <c r="G150" s="5">
        <v>1020.064</v>
      </c>
    </row>
    <row r="151" spans="1:7">
      <c r="A151" s="4">
        <v>52</v>
      </c>
      <c r="B151" s="4" t="s">
        <v>7</v>
      </c>
      <c r="C151" s="4" t="s">
        <v>15</v>
      </c>
      <c r="D151" s="4" t="s">
        <v>12</v>
      </c>
      <c r="E151" s="4" t="s">
        <v>16</v>
      </c>
      <c r="F151" s="6">
        <v>135</v>
      </c>
      <c r="G151" s="6">
        <v>1053</v>
      </c>
    </row>
    <row r="152" spans="1:7">
      <c r="A152" s="4">
        <v>54</v>
      </c>
      <c r="B152" s="4" t="s">
        <v>7</v>
      </c>
      <c r="C152" s="4" t="s">
        <v>15</v>
      </c>
      <c r="D152" s="4" t="s">
        <v>12</v>
      </c>
      <c r="E152" s="4" t="s">
        <v>16</v>
      </c>
      <c r="F152" s="4">
        <v>136</v>
      </c>
      <c r="G152" s="5">
        <v>1024.08</v>
      </c>
    </row>
    <row r="153" spans="1:7">
      <c r="A153" s="4">
        <v>55</v>
      </c>
      <c r="B153" s="4" t="s">
        <v>7</v>
      </c>
      <c r="C153" s="4" t="s">
        <v>15</v>
      </c>
      <c r="D153" s="4" t="s">
        <v>12</v>
      </c>
      <c r="E153" s="4" t="s">
        <v>16</v>
      </c>
      <c r="F153" s="4">
        <v>143</v>
      </c>
      <c r="G153" s="5">
        <v>861.4319999999999</v>
      </c>
    </row>
    <row r="154" spans="1:7">
      <c r="A154" s="4">
        <v>58</v>
      </c>
      <c r="B154" s="4" t="s">
        <v>7</v>
      </c>
      <c r="C154" s="4" t="s">
        <v>15</v>
      </c>
      <c r="D154" s="6" t="s">
        <v>9</v>
      </c>
      <c r="E154" s="4" t="s">
        <v>16</v>
      </c>
      <c r="F154" s="6">
        <v>152</v>
      </c>
      <c r="G154" s="6">
        <v>2389</v>
      </c>
    </row>
    <row r="155" spans="1:7">
      <c r="A155" s="4">
        <v>59</v>
      </c>
      <c r="B155" s="4" t="s">
        <v>7</v>
      </c>
      <c r="C155" s="4" t="s">
        <v>15</v>
      </c>
      <c r="D155" s="4" t="s">
        <v>12</v>
      </c>
      <c r="E155" s="4" t="s">
        <v>16</v>
      </c>
      <c r="F155" s="4">
        <v>153</v>
      </c>
      <c r="G155" s="5">
        <v>1228.896</v>
      </c>
    </row>
    <row r="156" spans="1:7">
      <c r="A156" s="4">
        <v>60</v>
      </c>
      <c r="B156" s="4" t="s">
        <v>7</v>
      </c>
      <c r="C156" s="4" t="s">
        <v>15</v>
      </c>
      <c r="D156" s="4" t="s">
        <v>12</v>
      </c>
      <c r="E156" s="4" t="s">
        <v>16</v>
      </c>
      <c r="F156" s="6">
        <v>156</v>
      </c>
      <c r="G156" s="6">
        <v>1025</v>
      </c>
    </row>
    <row r="157" spans="1:7">
      <c r="A157" s="4">
        <v>61</v>
      </c>
      <c r="B157" s="4" t="s">
        <v>7</v>
      </c>
      <c r="C157" s="4" t="s">
        <v>15</v>
      </c>
      <c r="D157" s="6" t="s">
        <v>9</v>
      </c>
      <c r="E157" s="4" t="s">
        <v>16</v>
      </c>
      <c r="F157" s="4">
        <v>159</v>
      </c>
      <c r="G157" s="5">
        <v>3688.6352331606213</v>
      </c>
    </row>
    <row r="158" spans="1:7">
      <c r="A158" s="4">
        <v>63</v>
      </c>
      <c r="B158" s="4" t="s">
        <v>7</v>
      </c>
      <c r="C158" s="4" t="s">
        <v>15</v>
      </c>
      <c r="D158" s="4" t="s">
        <v>12</v>
      </c>
      <c r="E158" s="4" t="s">
        <v>16</v>
      </c>
      <c r="F158" s="4">
        <v>162</v>
      </c>
      <c r="G158" s="5">
        <v>1305</v>
      </c>
    </row>
    <row r="159" spans="1:7">
      <c r="A159" s="4">
        <v>64</v>
      </c>
      <c r="B159" s="4" t="s">
        <v>7</v>
      </c>
      <c r="C159" s="4" t="s">
        <v>15</v>
      </c>
      <c r="D159" s="4" t="s">
        <v>12</v>
      </c>
      <c r="E159" s="4" t="s">
        <v>16</v>
      </c>
      <c r="F159" s="4">
        <v>162</v>
      </c>
      <c r="G159" s="5">
        <v>1903.7602072538862</v>
      </c>
    </row>
    <row r="160" spans="1:7">
      <c r="A160" s="4">
        <v>66</v>
      </c>
      <c r="B160" s="4" t="s">
        <v>7</v>
      </c>
      <c r="C160" s="4" t="s">
        <v>15</v>
      </c>
      <c r="D160" s="6" t="s">
        <v>9</v>
      </c>
      <c r="E160" s="4" t="s">
        <v>16</v>
      </c>
      <c r="F160" s="6">
        <v>174</v>
      </c>
      <c r="G160" s="6">
        <v>1876</v>
      </c>
    </row>
    <row r="161" spans="1:8">
      <c r="A161" s="4">
        <v>67</v>
      </c>
      <c r="B161" s="4" t="s">
        <v>11</v>
      </c>
      <c r="C161" s="6" t="s">
        <v>8</v>
      </c>
      <c r="D161" s="6" t="s">
        <v>9</v>
      </c>
      <c r="E161" s="4" t="s">
        <v>16</v>
      </c>
      <c r="F161" s="6">
        <v>178</v>
      </c>
      <c r="G161" s="6">
        <v>290</v>
      </c>
    </row>
    <row r="162" spans="1:8">
      <c r="A162" s="4">
        <v>68</v>
      </c>
      <c r="B162" s="4" t="s">
        <v>7</v>
      </c>
      <c r="C162" s="4" t="s">
        <v>15</v>
      </c>
      <c r="D162" s="6" t="s">
        <v>9</v>
      </c>
      <c r="E162" s="4" t="s">
        <v>16</v>
      </c>
      <c r="F162" s="6">
        <v>179</v>
      </c>
      <c r="G162" s="6">
        <v>789</v>
      </c>
    </row>
    <row r="163" spans="1:8">
      <c r="A163" s="4">
        <v>69</v>
      </c>
      <c r="B163" s="4" t="s">
        <v>7</v>
      </c>
      <c r="C163" s="4" t="s">
        <v>15</v>
      </c>
      <c r="D163" s="6" t="s">
        <v>9</v>
      </c>
      <c r="E163" s="4" t="s">
        <v>16</v>
      </c>
      <c r="F163" s="6">
        <v>180</v>
      </c>
      <c r="G163" s="6">
        <v>3063</v>
      </c>
    </row>
    <row r="164" spans="1:8">
      <c r="A164" s="4">
        <v>70</v>
      </c>
      <c r="B164" s="4" t="s">
        <v>7</v>
      </c>
      <c r="C164" s="4" t="s">
        <v>15</v>
      </c>
      <c r="D164" s="6" t="s">
        <v>9</v>
      </c>
      <c r="E164" s="4" t="s">
        <v>16</v>
      </c>
      <c r="F164" s="6">
        <v>182</v>
      </c>
      <c r="G164" s="6">
        <v>2629.2</v>
      </c>
    </row>
    <row r="165" spans="1:8">
      <c r="A165" s="4">
        <v>71</v>
      </c>
      <c r="B165" s="4" t="s">
        <v>7</v>
      </c>
      <c r="C165" s="4" t="s">
        <v>15</v>
      </c>
      <c r="D165" s="6" t="s">
        <v>14</v>
      </c>
      <c r="E165" s="4" t="s">
        <v>16</v>
      </c>
      <c r="F165" s="6">
        <v>183</v>
      </c>
      <c r="G165" s="6">
        <v>460</v>
      </c>
    </row>
    <row r="166" spans="1:8">
      <c r="A166" s="4">
        <v>72</v>
      </c>
      <c r="B166" s="4" t="s">
        <v>7</v>
      </c>
      <c r="C166" s="4" t="s">
        <v>17</v>
      </c>
      <c r="D166" s="4" t="s">
        <v>12</v>
      </c>
      <c r="E166" s="4" t="s">
        <v>16</v>
      </c>
      <c r="F166" s="6">
        <v>189</v>
      </c>
      <c r="G166" s="6">
        <v>315</v>
      </c>
    </row>
    <row r="167" spans="1:8">
      <c r="A167" s="4">
        <v>73</v>
      </c>
      <c r="B167" s="4" t="s">
        <v>7</v>
      </c>
      <c r="C167" s="4" t="s">
        <v>15</v>
      </c>
      <c r="D167" s="4" t="s">
        <v>12</v>
      </c>
      <c r="E167" s="4" t="s">
        <v>16</v>
      </c>
      <c r="F167" s="4">
        <v>193</v>
      </c>
      <c r="G167" s="5">
        <v>734</v>
      </c>
    </row>
    <row r="168" spans="1:8">
      <c r="A168" s="4">
        <v>74</v>
      </c>
      <c r="B168" s="4" t="s">
        <v>7</v>
      </c>
      <c r="C168" s="4" t="s">
        <v>17</v>
      </c>
      <c r="D168" s="4" t="s">
        <v>12</v>
      </c>
      <c r="E168" s="4" t="s">
        <v>16</v>
      </c>
      <c r="F168" s="6">
        <v>195</v>
      </c>
      <c r="G168" s="6">
        <v>322</v>
      </c>
    </row>
    <row r="169" spans="1:8">
      <c r="A169" s="4">
        <v>75</v>
      </c>
      <c r="B169" s="4" t="s">
        <v>7</v>
      </c>
      <c r="C169" s="4" t="s">
        <v>15</v>
      </c>
      <c r="D169" s="4" t="s">
        <v>12</v>
      </c>
      <c r="E169" s="4" t="s">
        <v>16</v>
      </c>
      <c r="F169" s="4">
        <v>209</v>
      </c>
      <c r="G169" s="5">
        <v>1993.4419999999996</v>
      </c>
    </row>
    <row r="170" spans="1:8">
      <c r="A170" s="4">
        <v>76</v>
      </c>
      <c r="B170" s="4" t="s">
        <v>7</v>
      </c>
      <c r="C170" s="4" t="s">
        <v>15</v>
      </c>
      <c r="D170" s="6" t="s">
        <v>9</v>
      </c>
      <c r="E170" s="4" t="s">
        <v>16</v>
      </c>
      <c r="F170" s="4">
        <v>237</v>
      </c>
      <c r="G170" s="5">
        <v>3064.5450777202072</v>
      </c>
    </row>
    <row r="171" spans="1:8">
      <c r="A171" s="4">
        <v>77</v>
      </c>
      <c r="B171" s="4" t="s">
        <v>7</v>
      </c>
      <c r="C171" s="6" t="s">
        <v>8</v>
      </c>
      <c r="D171" s="6" t="s">
        <v>9</v>
      </c>
      <c r="E171" s="4" t="s">
        <v>16</v>
      </c>
      <c r="F171" s="6">
        <v>250</v>
      </c>
      <c r="G171" s="6">
        <v>400</v>
      </c>
    </row>
    <row r="172" spans="1:8">
      <c r="A172" s="4">
        <v>78</v>
      </c>
      <c r="B172" s="4" t="s">
        <v>7</v>
      </c>
      <c r="C172" s="4" t="s">
        <v>15</v>
      </c>
      <c r="D172" s="6" t="s">
        <v>9</v>
      </c>
      <c r="E172" s="4" t="s">
        <v>16</v>
      </c>
      <c r="F172" s="4">
        <v>297</v>
      </c>
      <c r="G172" s="5">
        <v>2683.6919999999996</v>
      </c>
    </row>
    <row r="173" spans="1:8">
      <c r="A173" s="4">
        <v>79</v>
      </c>
      <c r="B173" s="4" t="s">
        <v>7</v>
      </c>
      <c r="C173" s="4" t="s">
        <v>15</v>
      </c>
      <c r="D173" s="6" t="s">
        <v>9</v>
      </c>
      <c r="E173" s="4" t="s">
        <v>16</v>
      </c>
      <c r="F173" s="6">
        <v>297</v>
      </c>
      <c r="G173" s="6">
        <v>7449</v>
      </c>
    </row>
    <row r="174" spans="1:8">
      <c r="A174" s="4">
        <v>80</v>
      </c>
      <c r="B174" s="4" t="s">
        <v>7</v>
      </c>
      <c r="C174" s="4" t="s">
        <v>15</v>
      </c>
      <c r="D174" s="4" t="s">
        <v>12</v>
      </c>
      <c r="E174" s="4" t="s">
        <v>16</v>
      </c>
      <c r="F174" s="4">
        <v>310</v>
      </c>
      <c r="G174" s="5">
        <v>933.7199999999998</v>
      </c>
    </row>
    <row r="175" spans="1:8">
      <c r="A175" s="4">
        <v>81</v>
      </c>
      <c r="B175" s="4" t="s">
        <v>7</v>
      </c>
      <c r="C175" s="4" t="s">
        <v>15</v>
      </c>
      <c r="D175" s="6" t="s">
        <v>9</v>
      </c>
      <c r="E175" s="4" t="s">
        <v>16</v>
      </c>
      <c r="F175" s="6">
        <v>382</v>
      </c>
      <c r="G175" s="6">
        <v>22000</v>
      </c>
      <c r="H175" s="20" t="s">
        <v>31</v>
      </c>
    </row>
    <row r="176" spans="1:8">
      <c r="A176" s="4">
        <v>82</v>
      </c>
      <c r="B176" s="4" t="s">
        <v>7</v>
      </c>
      <c r="C176" s="4" t="s">
        <v>17</v>
      </c>
      <c r="D176" s="6" t="s">
        <v>9</v>
      </c>
      <c r="E176" s="4" t="s">
        <v>16</v>
      </c>
      <c r="F176" s="6">
        <v>443</v>
      </c>
      <c r="G176" s="6">
        <v>796</v>
      </c>
    </row>
    <row r="177" spans="1:8">
      <c r="A177" s="4">
        <v>83</v>
      </c>
      <c r="B177" s="4" t="s">
        <v>7</v>
      </c>
      <c r="C177" s="4" t="s">
        <v>15</v>
      </c>
      <c r="D177" s="6" t="s">
        <v>9</v>
      </c>
      <c r="E177" s="4" t="s">
        <v>16</v>
      </c>
      <c r="F177" s="6">
        <v>460</v>
      </c>
      <c r="G177" s="6">
        <v>1667</v>
      </c>
    </row>
    <row r="178" spans="1:8">
      <c r="A178" s="4">
        <v>84</v>
      </c>
      <c r="B178" s="4" t="s">
        <v>7</v>
      </c>
      <c r="C178" s="6" t="s">
        <v>8</v>
      </c>
      <c r="D178" s="6" t="s">
        <v>9</v>
      </c>
      <c r="E178" s="4" t="s">
        <v>16</v>
      </c>
      <c r="F178" s="6">
        <v>500</v>
      </c>
      <c r="G178" s="6">
        <v>700</v>
      </c>
    </row>
    <row r="179" spans="1:8">
      <c r="A179" s="4">
        <v>85</v>
      </c>
      <c r="B179" s="4" t="s">
        <v>7</v>
      </c>
      <c r="C179" s="4" t="s">
        <v>15</v>
      </c>
      <c r="D179" s="6" t="s">
        <v>9</v>
      </c>
      <c r="E179" s="4" t="s">
        <v>16</v>
      </c>
      <c r="F179" s="4">
        <v>500</v>
      </c>
      <c r="G179" s="5">
        <v>2510</v>
      </c>
    </row>
    <row r="180" spans="1:8">
      <c r="A180" s="4">
        <v>86</v>
      </c>
      <c r="B180" s="4" t="s">
        <v>7</v>
      </c>
      <c r="C180" s="4" t="s">
        <v>15</v>
      </c>
      <c r="D180" s="6" t="s">
        <v>9</v>
      </c>
      <c r="E180" s="4" t="s">
        <v>16</v>
      </c>
      <c r="F180" s="6">
        <v>568</v>
      </c>
      <c r="G180" s="6">
        <v>5873</v>
      </c>
    </row>
    <row r="181" spans="1:8">
      <c r="A181" s="4">
        <v>87</v>
      </c>
      <c r="B181" s="4" t="s">
        <v>7</v>
      </c>
      <c r="C181" s="4" t="s">
        <v>15</v>
      </c>
      <c r="D181" s="6" t="s">
        <v>9</v>
      </c>
      <c r="E181" s="4" t="s">
        <v>16</v>
      </c>
      <c r="F181" s="6">
        <v>620</v>
      </c>
      <c r="G181" s="6">
        <v>18160</v>
      </c>
      <c r="H181" s="20" t="s">
        <v>31</v>
      </c>
    </row>
    <row r="182" spans="1:8">
      <c r="A182" s="4">
        <v>88</v>
      </c>
      <c r="B182" s="4" t="s">
        <v>7</v>
      </c>
      <c r="C182" s="4" t="s">
        <v>15</v>
      </c>
      <c r="D182" s="6" t="s">
        <v>9</v>
      </c>
      <c r="E182" s="4" t="s">
        <v>16</v>
      </c>
      <c r="F182" s="6">
        <v>730</v>
      </c>
      <c r="G182" s="6">
        <v>20975</v>
      </c>
      <c r="H182" s="20" t="s">
        <v>31</v>
      </c>
    </row>
    <row r="183" spans="1:8">
      <c r="A183" s="4">
        <v>89</v>
      </c>
      <c r="B183" s="4" t="s">
        <v>7</v>
      </c>
      <c r="C183" s="4" t="s">
        <v>15</v>
      </c>
      <c r="D183" s="6" t="s">
        <v>9</v>
      </c>
      <c r="E183" s="4" t="s">
        <v>16</v>
      </c>
      <c r="F183" s="6">
        <v>779</v>
      </c>
      <c r="G183" s="6">
        <v>25040</v>
      </c>
      <c r="H183" s="20" t="s">
        <v>31</v>
      </c>
    </row>
    <row r="184" spans="1:8">
      <c r="A184" s="4">
        <v>90</v>
      </c>
      <c r="B184" s="4" t="s">
        <v>7</v>
      </c>
      <c r="C184" s="4" t="s">
        <v>15</v>
      </c>
      <c r="D184" s="6" t="s">
        <v>14</v>
      </c>
      <c r="E184" s="4" t="s">
        <v>16</v>
      </c>
      <c r="F184" s="6">
        <v>849</v>
      </c>
      <c r="G184" s="6">
        <v>1874</v>
      </c>
      <c r="H184" s="20" t="s">
        <v>31</v>
      </c>
    </row>
    <row r="187" spans="1:8" ht="32">
      <c r="A187" s="1" t="s">
        <v>0</v>
      </c>
      <c r="B187" s="8" t="s">
        <v>1</v>
      </c>
      <c r="C187" s="7" t="s">
        <v>2</v>
      </c>
      <c r="D187" s="7" t="s">
        <v>3</v>
      </c>
      <c r="E187" s="9" t="s">
        <v>4</v>
      </c>
      <c r="F187" s="2" t="s">
        <v>5</v>
      </c>
      <c r="G187" s="2" t="s">
        <v>6</v>
      </c>
    </row>
    <row r="188" spans="1:8">
      <c r="A188" s="4">
        <v>5</v>
      </c>
      <c r="B188" s="4" t="s">
        <v>7</v>
      </c>
      <c r="C188" s="4" t="s">
        <v>15</v>
      </c>
      <c r="D188" s="6" t="s">
        <v>9</v>
      </c>
      <c r="E188" s="4" t="s">
        <v>16</v>
      </c>
      <c r="F188" s="6">
        <v>46</v>
      </c>
      <c r="G188" s="6">
        <v>1009</v>
      </c>
    </row>
    <row r="189" spans="1:8">
      <c r="A189" s="4">
        <v>7</v>
      </c>
      <c r="B189" s="4" t="s">
        <v>7</v>
      </c>
      <c r="C189" s="4" t="s">
        <v>15</v>
      </c>
      <c r="D189" s="4" t="s">
        <v>12</v>
      </c>
      <c r="E189" s="4" t="s">
        <v>16</v>
      </c>
      <c r="F189" s="4">
        <v>52</v>
      </c>
      <c r="G189" s="5">
        <v>274.09199999999998</v>
      </c>
    </row>
    <row r="190" spans="1:8">
      <c r="A190" s="4">
        <v>8</v>
      </c>
      <c r="B190" s="4" t="s">
        <v>7</v>
      </c>
      <c r="C190" s="4" t="s">
        <v>15</v>
      </c>
      <c r="D190" s="4" t="s">
        <v>12</v>
      </c>
      <c r="E190" s="4" t="s">
        <v>16</v>
      </c>
      <c r="F190" s="4">
        <v>61</v>
      </c>
      <c r="G190" s="5">
        <v>336.84199999999998</v>
      </c>
    </row>
    <row r="191" spans="1:8">
      <c r="A191" s="4">
        <v>10</v>
      </c>
      <c r="B191" s="4" t="s">
        <v>7</v>
      </c>
      <c r="C191" s="4" t="s">
        <v>15</v>
      </c>
      <c r="D191" s="4" t="s">
        <v>12</v>
      </c>
      <c r="E191" s="4" t="s">
        <v>16</v>
      </c>
      <c r="F191" s="4">
        <v>68</v>
      </c>
      <c r="G191" s="5">
        <v>512.04</v>
      </c>
    </row>
    <row r="192" spans="1:8">
      <c r="A192" s="4">
        <v>12</v>
      </c>
      <c r="B192" s="4" t="s">
        <v>7</v>
      </c>
      <c r="C192" s="4" t="s">
        <v>15</v>
      </c>
      <c r="D192" s="4" t="s">
        <v>12</v>
      </c>
      <c r="E192" s="4" t="s">
        <v>16</v>
      </c>
      <c r="F192" s="4">
        <v>70</v>
      </c>
      <c r="G192" s="5">
        <v>379.512</v>
      </c>
    </row>
    <row r="193" spans="1:7">
      <c r="A193" s="4">
        <v>13</v>
      </c>
      <c r="B193" s="4" t="s">
        <v>7</v>
      </c>
      <c r="C193" s="4" t="s">
        <v>15</v>
      </c>
      <c r="D193" s="4" t="s">
        <v>12</v>
      </c>
      <c r="E193" s="4" t="s">
        <v>16</v>
      </c>
      <c r="F193" s="4">
        <v>72</v>
      </c>
      <c r="G193" s="5">
        <v>397.58399999999995</v>
      </c>
    </row>
    <row r="194" spans="1:7">
      <c r="A194" s="4">
        <v>14</v>
      </c>
      <c r="B194" s="4" t="s">
        <v>7</v>
      </c>
      <c r="C194" s="4" t="s">
        <v>15</v>
      </c>
      <c r="D194" s="4" t="s">
        <v>12</v>
      </c>
      <c r="E194" s="4" t="s">
        <v>16</v>
      </c>
      <c r="F194" s="4">
        <v>73</v>
      </c>
      <c r="G194" s="5">
        <v>659.62799999999993</v>
      </c>
    </row>
    <row r="195" spans="1:7">
      <c r="A195" s="4">
        <v>15</v>
      </c>
      <c r="B195" s="4" t="s">
        <v>7</v>
      </c>
      <c r="C195" s="4" t="s">
        <v>15</v>
      </c>
      <c r="D195" s="4" t="s">
        <v>12</v>
      </c>
      <c r="E195" s="4" t="s">
        <v>16</v>
      </c>
      <c r="F195" s="4">
        <v>74</v>
      </c>
      <c r="G195" s="5">
        <v>482.92399999999998</v>
      </c>
    </row>
    <row r="196" spans="1:7">
      <c r="A196" s="4">
        <v>17</v>
      </c>
      <c r="B196" s="4" t="s">
        <v>7</v>
      </c>
      <c r="C196" s="4" t="s">
        <v>17</v>
      </c>
      <c r="D196" s="6" t="s">
        <v>14</v>
      </c>
      <c r="E196" s="4" t="s">
        <v>16</v>
      </c>
      <c r="F196" s="6">
        <v>76</v>
      </c>
      <c r="G196" s="6">
        <v>1100</v>
      </c>
    </row>
    <row r="197" spans="1:7">
      <c r="A197" s="4">
        <v>19</v>
      </c>
      <c r="B197" s="4" t="s">
        <v>7</v>
      </c>
      <c r="C197" s="4" t="s">
        <v>15</v>
      </c>
      <c r="D197" s="4" t="s">
        <v>12</v>
      </c>
      <c r="E197" s="4" t="s">
        <v>16</v>
      </c>
      <c r="F197" s="4">
        <v>79</v>
      </c>
      <c r="G197" s="5">
        <v>475.89599999999996</v>
      </c>
    </row>
    <row r="198" spans="1:7">
      <c r="A198" s="4">
        <v>21</v>
      </c>
      <c r="B198" s="4" t="s">
        <v>7</v>
      </c>
      <c r="C198" s="4" t="s">
        <v>15</v>
      </c>
      <c r="D198" s="6" t="s">
        <v>9</v>
      </c>
      <c r="E198" s="4" t="s">
        <v>16</v>
      </c>
      <c r="F198" s="6">
        <v>80</v>
      </c>
      <c r="G198" s="6">
        <v>2879</v>
      </c>
    </row>
    <row r="199" spans="1:7">
      <c r="A199" s="4">
        <v>23</v>
      </c>
      <c r="B199" s="4" t="s">
        <v>7</v>
      </c>
      <c r="C199" s="4" t="s">
        <v>15</v>
      </c>
      <c r="D199" s="4" t="s">
        <v>12</v>
      </c>
      <c r="E199" s="4" t="s">
        <v>16</v>
      </c>
      <c r="F199" s="4">
        <v>81</v>
      </c>
      <c r="G199" s="5">
        <v>691.25399999999991</v>
      </c>
    </row>
    <row r="200" spans="1:7">
      <c r="A200" s="4">
        <v>24</v>
      </c>
      <c r="B200" s="4" t="s">
        <v>7</v>
      </c>
      <c r="C200" s="4" t="s">
        <v>15</v>
      </c>
      <c r="D200" s="4" t="s">
        <v>12</v>
      </c>
      <c r="E200" s="4" t="s">
        <v>16</v>
      </c>
      <c r="F200" s="4">
        <v>83</v>
      </c>
      <c r="G200" s="5">
        <v>466.6592</v>
      </c>
    </row>
    <row r="201" spans="1:7">
      <c r="A201" s="4">
        <v>25</v>
      </c>
      <c r="B201" s="4" t="s">
        <v>7</v>
      </c>
      <c r="C201" s="4" t="s">
        <v>15</v>
      </c>
      <c r="D201" s="6" t="s">
        <v>9</v>
      </c>
      <c r="E201" s="4" t="s">
        <v>16</v>
      </c>
      <c r="F201" s="6">
        <v>83</v>
      </c>
      <c r="G201" s="6">
        <v>855</v>
      </c>
    </row>
    <row r="202" spans="1:7">
      <c r="A202" s="4">
        <v>26</v>
      </c>
      <c r="B202" s="4" t="s">
        <v>7</v>
      </c>
      <c r="C202" s="4" t="s">
        <v>15</v>
      </c>
      <c r="D202" s="4" t="s">
        <v>12</v>
      </c>
      <c r="E202" s="4" t="s">
        <v>16</v>
      </c>
      <c r="F202" s="4">
        <v>84</v>
      </c>
      <c r="G202" s="5">
        <v>421.67999999999995</v>
      </c>
    </row>
    <row r="203" spans="1:7">
      <c r="A203" s="4">
        <v>27</v>
      </c>
      <c r="B203" s="4" t="s">
        <v>7</v>
      </c>
      <c r="C203" s="4" t="s">
        <v>15</v>
      </c>
      <c r="D203" s="4" t="s">
        <v>12</v>
      </c>
      <c r="E203" s="4" t="s">
        <v>16</v>
      </c>
      <c r="F203" s="4">
        <v>85</v>
      </c>
      <c r="G203" s="5">
        <v>725.39</v>
      </c>
    </row>
    <row r="204" spans="1:7">
      <c r="A204" s="4">
        <v>30</v>
      </c>
      <c r="B204" s="4" t="s">
        <v>7</v>
      </c>
      <c r="C204" s="4" t="s">
        <v>15</v>
      </c>
      <c r="D204" s="4" t="s">
        <v>12</v>
      </c>
      <c r="E204" s="4" t="s">
        <v>16</v>
      </c>
      <c r="F204" s="4">
        <v>90</v>
      </c>
      <c r="G204" s="5">
        <v>406.61999999999995</v>
      </c>
    </row>
    <row r="205" spans="1:7">
      <c r="A205" s="4">
        <v>32</v>
      </c>
      <c r="B205" s="4" t="s">
        <v>7</v>
      </c>
      <c r="C205" s="4" t="s">
        <v>15</v>
      </c>
      <c r="D205" s="4" t="s">
        <v>12</v>
      </c>
      <c r="E205" s="4" t="s">
        <v>16</v>
      </c>
      <c r="F205" s="4">
        <v>92</v>
      </c>
      <c r="G205" s="5">
        <v>831.31200000000001</v>
      </c>
    </row>
    <row r="206" spans="1:7">
      <c r="A206" s="4">
        <v>33</v>
      </c>
      <c r="B206" s="4" t="s">
        <v>7</v>
      </c>
      <c r="C206" s="4" t="s">
        <v>15</v>
      </c>
      <c r="D206" s="4" t="s">
        <v>12</v>
      </c>
      <c r="E206" s="4" t="s">
        <v>16</v>
      </c>
      <c r="F206" s="4">
        <v>100</v>
      </c>
      <c r="G206" s="5">
        <v>702.79999999999984</v>
      </c>
    </row>
    <row r="207" spans="1:7">
      <c r="A207" s="4">
        <v>35</v>
      </c>
      <c r="B207" s="4" t="s">
        <v>7</v>
      </c>
      <c r="C207" s="4" t="s">
        <v>15</v>
      </c>
      <c r="D207" s="4" t="s">
        <v>12</v>
      </c>
      <c r="E207" s="4" t="s">
        <v>16</v>
      </c>
      <c r="F207" s="4">
        <v>102</v>
      </c>
      <c r="G207" s="5">
        <v>921.67199999999991</v>
      </c>
    </row>
    <row r="208" spans="1:7">
      <c r="A208" s="4">
        <v>36</v>
      </c>
      <c r="B208" s="4" t="s">
        <v>7</v>
      </c>
      <c r="C208" s="4" t="s">
        <v>15</v>
      </c>
      <c r="D208" s="4" t="s">
        <v>12</v>
      </c>
      <c r="E208" s="4" t="s">
        <v>16</v>
      </c>
      <c r="F208" s="4">
        <v>105</v>
      </c>
      <c r="G208" s="5">
        <v>2196.2953367875648</v>
      </c>
    </row>
    <row r="209" spans="1:7">
      <c r="A209" s="4">
        <v>37</v>
      </c>
      <c r="B209" s="4" t="s">
        <v>7</v>
      </c>
      <c r="C209" s="4" t="s">
        <v>15</v>
      </c>
      <c r="D209" s="4" t="s">
        <v>12</v>
      </c>
      <c r="E209" s="4" t="s">
        <v>16</v>
      </c>
      <c r="F209" s="4">
        <v>108</v>
      </c>
      <c r="G209" s="5">
        <v>650.59199999999998</v>
      </c>
    </row>
    <row r="210" spans="1:7">
      <c r="A210" s="4">
        <v>38</v>
      </c>
      <c r="B210" s="4" t="s">
        <v>7</v>
      </c>
      <c r="C210" s="4" t="s">
        <v>17</v>
      </c>
      <c r="D210" s="6" t="s">
        <v>14</v>
      </c>
      <c r="E210" s="4" t="s">
        <v>16</v>
      </c>
      <c r="F210" s="6">
        <v>108</v>
      </c>
      <c r="G210" s="6">
        <v>1276</v>
      </c>
    </row>
    <row r="211" spans="1:7">
      <c r="A211" s="4">
        <v>39</v>
      </c>
      <c r="B211" s="4" t="s">
        <v>7</v>
      </c>
      <c r="C211" s="4" t="s">
        <v>17</v>
      </c>
      <c r="D211" s="4" t="s">
        <v>12</v>
      </c>
      <c r="E211" s="4" t="s">
        <v>16</v>
      </c>
      <c r="F211" s="6">
        <v>110</v>
      </c>
      <c r="G211" s="6">
        <v>884</v>
      </c>
    </row>
    <row r="212" spans="1:7">
      <c r="A212" s="4">
        <v>40</v>
      </c>
      <c r="B212" s="4" t="s">
        <v>7</v>
      </c>
      <c r="C212" s="4" t="s">
        <v>15</v>
      </c>
      <c r="D212" s="4" t="s">
        <v>12</v>
      </c>
      <c r="E212" s="4" t="s">
        <v>16</v>
      </c>
      <c r="F212" s="4">
        <v>114</v>
      </c>
      <c r="G212" s="5">
        <v>502</v>
      </c>
    </row>
    <row r="213" spans="1:7">
      <c r="A213" s="4">
        <v>41</v>
      </c>
      <c r="B213" s="4" t="s">
        <v>7</v>
      </c>
      <c r="C213" s="4" t="s">
        <v>15</v>
      </c>
      <c r="D213" s="6" t="s">
        <v>9</v>
      </c>
      <c r="E213" s="4" t="s">
        <v>16</v>
      </c>
      <c r="F213" s="6">
        <v>114</v>
      </c>
      <c r="G213" s="6">
        <v>7290</v>
      </c>
    </row>
    <row r="214" spans="1:7">
      <c r="A214" s="4">
        <v>42</v>
      </c>
      <c r="B214" s="4" t="s">
        <v>11</v>
      </c>
      <c r="C214" s="6" t="s">
        <v>8</v>
      </c>
      <c r="D214" s="6" t="s">
        <v>9</v>
      </c>
      <c r="E214" s="4" t="s">
        <v>16</v>
      </c>
      <c r="F214" s="6">
        <v>115</v>
      </c>
      <c r="G214" s="6">
        <v>285</v>
      </c>
    </row>
    <row r="215" spans="1:7">
      <c r="A215" s="4">
        <v>43</v>
      </c>
      <c r="B215" s="4" t="s">
        <v>7</v>
      </c>
      <c r="C215" s="4" t="s">
        <v>15</v>
      </c>
      <c r="D215" s="4" t="s">
        <v>12</v>
      </c>
      <c r="E215" s="4" t="s">
        <v>16</v>
      </c>
      <c r="F215" s="4">
        <v>115</v>
      </c>
      <c r="G215" s="5">
        <v>692.75999999999988</v>
      </c>
    </row>
    <row r="216" spans="1:7">
      <c r="A216" s="4">
        <v>44</v>
      </c>
      <c r="B216" s="4" t="s">
        <v>7</v>
      </c>
      <c r="C216" s="4" t="s">
        <v>15</v>
      </c>
      <c r="D216" s="6" t="s">
        <v>9</v>
      </c>
      <c r="E216" s="4" t="s">
        <v>16</v>
      </c>
      <c r="F216" s="4">
        <v>115</v>
      </c>
      <c r="G216" s="5">
        <v>2711.6165803108811</v>
      </c>
    </row>
    <row r="217" spans="1:7">
      <c r="A217" s="4">
        <v>45</v>
      </c>
      <c r="B217" s="4" t="s">
        <v>7</v>
      </c>
      <c r="C217" s="4" t="s">
        <v>15</v>
      </c>
      <c r="D217" s="4" t="s">
        <v>12</v>
      </c>
      <c r="E217" s="4" t="s">
        <v>16</v>
      </c>
      <c r="F217" s="4">
        <v>117</v>
      </c>
      <c r="G217" s="5">
        <v>728.30159999999989</v>
      </c>
    </row>
    <row r="218" spans="1:7">
      <c r="A218" s="4">
        <v>46</v>
      </c>
      <c r="B218" s="4" t="s">
        <v>7</v>
      </c>
      <c r="C218" s="4" t="s">
        <v>15</v>
      </c>
      <c r="D218" s="4" t="s">
        <v>12</v>
      </c>
      <c r="E218" s="4" t="s">
        <v>16</v>
      </c>
      <c r="F218" s="4">
        <v>117</v>
      </c>
      <c r="G218" s="5">
        <v>998.47799999999984</v>
      </c>
    </row>
    <row r="219" spans="1:7">
      <c r="A219" s="4">
        <v>47</v>
      </c>
      <c r="B219" s="4" t="s">
        <v>7</v>
      </c>
      <c r="C219" s="4" t="s">
        <v>15</v>
      </c>
      <c r="D219" s="4" t="s">
        <v>12</v>
      </c>
      <c r="E219" s="4" t="s">
        <v>16</v>
      </c>
      <c r="F219" s="4">
        <v>118</v>
      </c>
      <c r="G219" s="5">
        <v>1795.0673575129535</v>
      </c>
    </row>
    <row r="220" spans="1:7">
      <c r="A220" s="4">
        <v>48</v>
      </c>
      <c r="B220" s="4" t="s">
        <v>7</v>
      </c>
      <c r="C220" s="4" t="s">
        <v>17</v>
      </c>
      <c r="D220" s="4" t="s">
        <v>12</v>
      </c>
      <c r="E220" s="4" t="s">
        <v>16</v>
      </c>
      <c r="F220" s="6">
        <v>122</v>
      </c>
      <c r="G220" s="6">
        <v>1045</v>
      </c>
    </row>
    <row r="221" spans="1:7">
      <c r="A221" s="4">
        <v>49</v>
      </c>
      <c r="B221" s="4" t="s">
        <v>7</v>
      </c>
      <c r="C221" s="4" t="s">
        <v>15</v>
      </c>
      <c r="D221" s="4" t="s">
        <v>12</v>
      </c>
      <c r="E221" s="4" t="s">
        <v>16</v>
      </c>
      <c r="F221" s="4">
        <v>125</v>
      </c>
      <c r="G221" s="5">
        <v>1004</v>
      </c>
    </row>
    <row r="222" spans="1:7">
      <c r="A222" s="4">
        <v>51</v>
      </c>
      <c r="B222" s="4" t="s">
        <v>7</v>
      </c>
      <c r="C222" s="4" t="s">
        <v>15</v>
      </c>
      <c r="D222" s="4" t="s">
        <v>12</v>
      </c>
      <c r="E222" s="4" t="s">
        <v>16</v>
      </c>
      <c r="F222" s="4">
        <v>127</v>
      </c>
      <c r="G222" s="5">
        <v>1020.064</v>
      </c>
    </row>
    <row r="223" spans="1:7">
      <c r="A223" s="4">
        <v>52</v>
      </c>
      <c r="B223" s="4" t="s">
        <v>7</v>
      </c>
      <c r="C223" s="4" t="s">
        <v>15</v>
      </c>
      <c r="D223" s="4" t="s">
        <v>12</v>
      </c>
      <c r="E223" s="4" t="s">
        <v>16</v>
      </c>
      <c r="F223" s="6">
        <v>135</v>
      </c>
      <c r="G223" s="6">
        <v>1053</v>
      </c>
    </row>
    <row r="224" spans="1:7">
      <c r="A224" s="4">
        <v>54</v>
      </c>
      <c r="B224" s="4" t="s">
        <v>7</v>
      </c>
      <c r="C224" s="4" t="s">
        <v>15</v>
      </c>
      <c r="D224" s="4" t="s">
        <v>12</v>
      </c>
      <c r="E224" s="4" t="s">
        <v>16</v>
      </c>
      <c r="F224" s="4">
        <v>136</v>
      </c>
      <c r="G224" s="5">
        <v>1024.08</v>
      </c>
    </row>
    <row r="225" spans="1:7">
      <c r="A225" s="4">
        <v>55</v>
      </c>
      <c r="B225" s="4" t="s">
        <v>7</v>
      </c>
      <c r="C225" s="4" t="s">
        <v>15</v>
      </c>
      <c r="D225" s="4" t="s">
        <v>12</v>
      </c>
      <c r="E225" s="4" t="s">
        <v>16</v>
      </c>
      <c r="F225" s="4">
        <v>143</v>
      </c>
      <c r="G225" s="5">
        <v>861.4319999999999</v>
      </c>
    </row>
    <row r="226" spans="1:7">
      <c r="A226" s="4">
        <v>58</v>
      </c>
      <c r="B226" s="4" t="s">
        <v>7</v>
      </c>
      <c r="C226" s="4" t="s">
        <v>15</v>
      </c>
      <c r="D226" s="6" t="s">
        <v>9</v>
      </c>
      <c r="E226" s="4" t="s">
        <v>16</v>
      </c>
      <c r="F226" s="6">
        <v>152</v>
      </c>
      <c r="G226" s="6">
        <v>2389</v>
      </c>
    </row>
    <row r="227" spans="1:7">
      <c r="A227" s="4">
        <v>59</v>
      </c>
      <c r="B227" s="4" t="s">
        <v>7</v>
      </c>
      <c r="C227" s="4" t="s">
        <v>15</v>
      </c>
      <c r="D227" s="4" t="s">
        <v>12</v>
      </c>
      <c r="E227" s="4" t="s">
        <v>16</v>
      </c>
      <c r="F227" s="4">
        <v>153</v>
      </c>
      <c r="G227" s="5">
        <v>1228.896</v>
      </c>
    </row>
    <row r="228" spans="1:7">
      <c r="A228" s="4">
        <v>60</v>
      </c>
      <c r="B228" s="4" t="s">
        <v>7</v>
      </c>
      <c r="C228" s="4" t="s">
        <v>15</v>
      </c>
      <c r="D228" s="4" t="s">
        <v>12</v>
      </c>
      <c r="E228" s="4" t="s">
        <v>16</v>
      </c>
      <c r="F228" s="6">
        <v>156</v>
      </c>
      <c r="G228" s="6">
        <v>1025</v>
      </c>
    </row>
    <row r="229" spans="1:7">
      <c r="A229" s="4">
        <v>61</v>
      </c>
      <c r="B229" s="4" t="s">
        <v>7</v>
      </c>
      <c r="C229" s="4" t="s">
        <v>15</v>
      </c>
      <c r="D229" s="6" t="s">
        <v>9</v>
      </c>
      <c r="E229" s="4" t="s">
        <v>16</v>
      </c>
      <c r="F229" s="4">
        <v>159</v>
      </c>
      <c r="G229" s="5">
        <v>3688.6352331606213</v>
      </c>
    </row>
    <row r="230" spans="1:7">
      <c r="A230" s="4">
        <v>63</v>
      </c>
      <c r="B230" s="4" t="s">
        <v>7</v>
      </c>
      <c r="C230" s="4" t="s">
        <v>15</v>
      </c>
      <c r="D230" s="4" t="s">
        <v>12</v>
      </c>
      <c r="E230" s="4" t="s">
        <v>16</v>
      </c>
      <c r="F230" s="4">
        <v>162</v>
      </c>
      <c r="G230" s="5">
        <v>1305</v>
      </c>
    </row>
    <row r="231" spans="1:7">
      <c r="A231" s="4">
        <v>64</v>
      </c>
      <c r="B231" s="4" t="s">
        <v>7</v>
      </c>
      <c r="C231" s="4" t="s">
        <v>15</v>
      </c>
      <c r="D231" s="4" t="s">
        <v>12</v>
      </c>
      <c r="E231" s="4" t="s">
        <v>16</v>
      </c>
      <c r="F231" s="4">
        <v>162</v>
      </c>
      <c r="G231" s="5">
        <v>1903.7602072538862</v>
      </c>
    </row>
    <row r="232" spans="1:7">
      <c r="A232" s="4">
        <v>66</v>
      </c>
      <c r="B232" s="4" t="s">
        <v>7</v>
      </c>
      <c r="C232" s="4" t="s">
        <v>15</v>
      </c>
      <c r="D232" s="6" t="s">
        <v>9</v>
      </c>
      <c r="E232" s="4" t="s">
        <v>16</v>
      </c>
      <c r="F232" s="6">
        <v>174</v>
      </c>
      <c r="G232" s="6">
        <v>1876</v>
      </c>
    </row>
    <row r="233" spans="1:7">
      <c r="A233" s="4">
        <v>67</v>
      </c>
      <c r="B233" s="4" t="s">
        <v>11</v>
      </c>
      <c r="C233" s="6" t="s">
        <v>8</v>
      </c>
      <c r="D233" s="6" t="s">
        <v>9</v>
      </c>
      <c r="E233" s="4" t="s">
        <v>16</v>
      </c>
      <c r="F233" s="6">
        <v>178</v>
      </c>
      <c r="G233" s="6">
        <v>290</v>
      </c>
    </row>
    <row r="234" spans="1:7">
      <c r="A234" s="4">
        <v>68</v>
      </c>
      <c r="B234" s="4" t="s">
        <v>7</v>
      </c>
      <c r="C234" s="4" t="s">
        <v>15</v>
      </c>
      <c r="D234" s="6" t="s">
        <v>9</v>
      </c>
      <c r="E234" s="4" t="s">
        <v>16</v>
      </c>
      <c r="F234" s="6">
        <v>179</v>
      </c>
      <c r="G234" s="6">
        <v>789</v>
      </c>
    </row>
    <row r="235" spans="1:7">
      <c r="A235" s="4">
        <v>69</v>
      </c>
      <c r="B235" s="4" t="s">
        <v>7</v>
      </c>
      <c r="C235" s="4" t="s">
        <v>15</v>
      </c>
      <c r="D235" s="6" t="s">
        <v>9</v>
      </c>
      <c r="E235" s="4" t="s">
        <v>16</v>
      </c>
      <c r="F235" s="6">
        <v>180</v>
      </c>
      <c r="G235" s="6">
        <v>3063</v>
      </c>
    </row>
    <row r="236" spans="1:7">
      <c r="A236" s="4">
        <v>70</v>
      </c>
      <c r="B236" s="4" t="s">
        <v>7</v>
      </c>
      <c r="C236" s="4" t="s">
        <v>15</v>
      </c>
      <c r="D236" s="6" t="s">
        <v>9</v>
      </c>
      <c r="E236" s="4" t="s">
        <v>16</v>
      </c>
      <c r="F236" s="6">
        <v>182</v>
      </c>
      <c r="G236" s="6">
        <v>2629.2</v>
      </c>
    </row>
    <row r="237" spans="1:7">
      <c r="A237" s="4">
        <v>71</v>
      </c>
      <c r="B237" s="4" t="s">
        <v>7</v>
      </c>
      <c r="C237" s="4" t="s">
        <v>15</v>
      </c>
      <c r="D237" s="6" t="s">
        <v>14</v>
      </c>
      <c r="E237" s="4" t="s">
        <v>16</v>
      </c>
      <c r="F237" s="6">
        <v>183</v>
      </c>
      <c r="G237" s="6">
        <v>460</v>
      </c>
    </row>
    <row r="238" spans="1:7">
      <c r="A238" s="4">
        <v>72</v>
      </c>
      <c r="B238" s="4" t="s">
        <v>7</v>
      </c>
      <c r="C238" s="4" t="s">
        <v>17</v>
      </c>
      <c r="D238" s="4" t="s">
        <v>12</v>
      </c>
      <c r="E238" s="4" t="s">
        <v>16</v>
      </c>
      <c r="F238" s="6">
        <v>189</v>
      </c>
      <c r="G238" s="6">
        <v>315</v>
      </c>
    </row>
    <row r="239" spans="1:7">
      <c r="A239" s="4">
        <v>73</v>
      </c>
      <c r="B239" s="4" t="s">
        <v>7</v>
      </c>
      <c r="C239" s="4" t="s">
        <v>15</v>
      </c>
      <c r="D239" s="4" t="s">
        <v>12</v>
      </c>
      <c r="E239" s="4" t="s">
        <v>16</v>
      </c>
      <c r="F239" s="4">
        <v>193</v>
      </c>
      <c r="G239" s="5">
        <v>734</v>
      </c>
    </row>
    <row r="240" spans="1:7">
      <c r="A240" s="4">
        <v>74</v>
      </c>
      <c r="B240" s="4" t="s">
        <v>7</v>
      </c>
      <c r="C240" s="4" t="s">
        <v>17</v>
      </c>
      <c r="D240" s="4" t="s">
        <v>12</v>
      </c>
      <c r="E240" s="4" t="s">
        <v>16</v>
      </c>
      <c r="F240" s="6">
        <v>195</v>
      </c>
      <c r="G240" s="6">
        <v>322</v>
      </c>
    </row>
    <row r="241" spans="1:7">
      <c r="A241" s="4">
        <v>75</v>
      </c>
      <c r="B241" s="4" t="s">
        <v>7</v>
      </c>
      <c r="C241" s="4" t="s">
        <v>15</v>
      </c>
      <c r="D241" s="4" t="s">
        <v>12</v>
      </c>
      <c r="E241" s="4" t="s">
        <v>16</v>
      </c>
      <c r="F241" s="4">
        <v>209</v>
      </c>
      <c r="G241" s="5">
        <v>1993.4419999999996</v>
      </c>
    </row>
    <row r="242" spans="1:7">
      <c r="A242" s="4">
        <v>76</v>
      </c>
      <c r="B242" s="4" t="s">
        <v>7</v>
      </c>
      <c r="C242" s="4" t="s">
        <v>15</v>
      </c>
      <c r="D242" s="6" t="s">
        <v>9</v>
      </c>
      <c r="E242" s="4" t="s">
        <v>16</v>
      </c>
      <c r="F242" s="4">
        <v>237</v>
      </c>
      <c r="G242" s="5">
        <v>3064.5450777202072</v>
      </c>
    </row>
    <row r="243" spans="1:7">
      <c r="A243" s="4">
        <v>77</v>
      </c>
      <c r="B243" s="4" t="s">
        <v>7</v>
      </c>
      <c r="C243" s="6" t="s">
        <v>8</v>
      </c>
      <c r="D243" s="6" t="s">
        <v>9</v>
      </c>
      <c r="E243" s="4" t="s">
        <v>16</v>
      </c>
      <c r="F243" s="6">
        <v>250</v>
      </c>
      <c r="G243" s="6">
        <v>400</v>
      </c>
    </row>
    <row r="244" spans="1:7">
      <c r="A244" s="4">
        <v>78</v>
      </c>
      <c r="B244" s="4" t="s">
        <v>7</v>
      </c>
      <c r="C244" s="4" t="s">
        <v>15</v>
      </c>
      <c r="D244" s="6" t="s">
        <v>9</v>
      </c>
      <c r="E244" s="4" t="s">
        <v>16</v>
      </c>
      <c r="F244" s="4">
        <v>297</v>
      </c>
      <c r="G244" s="5">
        <v>2683.6919999999996</v>
      </c>
    </row>
    <row r="245" spans="1:7">
      <c r="A245" s="4">
        <v>79</v>
      </c>
      <c r="B245" s="4" t="s">
        <v>7</v>
      </c>
      <c r="C245" s="4" t="s">
        <v>15</v>
      </c>
      <c r="D245" s="6" t="s">
        <v>9</v>
      </c>
      <c r="E245" s="4" t="s">
        <v>16</v>
      </c>
      <c r="F245" s="6">
        <v>297</v>
      </c>
      <c r="G245" s="6">
        <v>7449</v>
      </c>
    </row>
    <row r="246" spans="1:7">
      <c r="A246" s="4">
        <v>80</v>
      </c>
      <c r="B246" s="4" t="s">
        <v>7</v>
      </c>
      <c r="C246" s="4" t="s">
        <v>15</v>
      </c>
      <c r="D246" s="4" t="s">
        <v>12</v>
      </c>
      <c r="E246" s="4" t="s">
        <v>16</v>
      </c>
      <c r="F246" s="4">
        <v>310</v>
      </c>
      <c r="G246" s="5">
        <v>933.7199999999998</v>
      </c>
    </row>
    <row r="247" spans="1:7">
      <c r="A247" s="4">
        <v>82</v>
      </c>
      <c r="B247" s="4" t="s">
        <v>7</v>
      </c>
      <c r="C247" s="4" t="s">
        <v>17</v>
      </c>
      <c r="D247" s="6" t="s">
        <v>9</v>
      </c>
      <c r="E247" s="4" t="s">
        <v>16</v>
      </c>
      <c r="F247" s="6">
        <v>443</v>
      </c>
      <c r="G247" s="6">
        <v>796</v>
      </c>
    </row>
    <row r="248" spans="1:7">
      <c r="A248" s="4">
        <v>83</v>
      </c>
      <c r="B248" s="4" t="s">
        <v>7</v>
      </c>
      <c r="C248" s="4" t="s">
        <v>15</v>
      </c>
      <c r="D248" s="6" t="s">
        <v>9</v>
      </c>
      <c r="E248" s="4" t="s">
        <v>16</v>
      </c>
      <c r="F248" s="6">
        <v>460</v>
      </c>
      <c r="G248" s="6">
        <v>1667</v>
      </c>
    </row>
    <row r="249" spans="1:7">
      <c r="A249" s="4">
        <v>84</v>
      </c>
      <c r="B249" s="4" t="s">
        <v>7</v>
      </c>
      <c r="C249" s="6" t="s">
        <v>8</v>
      </c>
      <c r="D249" s="6" t="s">
        <v>9</v>
      </c>
      <c r="E249" s="4" t="s">
        <v>16</v>
      </c>
      <c r="F249" s="6">
        <v>500</v>
      </c>
      <c r="G249" s="6">
        <v>700</v>
      </c>
    </row>
    <row r="250" spans="1:7">
      <c r="A250" s="4">
        <v>85</v>
      </c>
      <c r="B250" s="4" t="s">
        <v>7</v>
      </c>
      <c r="C250" s="4" t="s">
        <v>15</v>
      </c>
      <c r="D250" s="6" t="s">
        <v>9</v>
      </c>
      <c r="E250" s="4" t="s">
        <v>16</v>
      </c>
      <c r="F250" s="4">
        <v>500</v>
      </c>
      <c r="G250" s="5">
        <v>2510</v>
      </c>
    </row>
    <row r="251" spans="1:7">
      <c r="A251" s="4">
        <v>86</v>
      </c>
      <c r="B251" s="4" t="s">
        <v>7</v>
      </c>
      <c r="C251" s="4" t="s">
        <v>15</v>
      </c>
      <c r="D251" s="6" t="s">
        <v>9</v>
      </c>
      <c r="E251" s="4" t="s">
        <v>16</v>
      </c>
      <c r="F251" s="6">
        <v>568</v>
      </c>
      <c r="G251" s="6">
        <v>5873</v>
      </c>
    </row>
    <row r="253" spans="1:7">
      <c r="A253" t="s">
        <v>28</v>
      </c>
    </row>
    <row r="254" spans="1:7" ht="20">
      <c r="A254" s="13" t="s">
        <v>29</v>
      </c>
    </row>
    <row r="255" spans="1:7" ht="17">
      <c r="A255" s="14" t="s">
        <v>30</v>
      </c>
      <c r="B255" s="14" t="s">
        <v>6</v>
      </c>
      <c r="C255" s="14"/>
      <c r="D255" s="14"/>
      <c r="E255" s="14"/>
      <c r="F255" s="14"/>
      <c r="G255" s="14"/>
    </row>
    <row r="256" spans="1:7" ht="17">
      <c r="A256" s="14">
        <v>26</v>
      </c>
      <c r="B256" s="14">
        <v>7290</v>
      </c>
      <c r="C256" s="14"/>
      <c r="D256" s="14"/>
      <c r="E256" s="14"/>
      <c r="F256" s="14"/>
      <c r="G256" s="14"/>
    </row>
    <row r="257" spans="1:7" ht="17">
      <c r="A257" s="14">
        <v>58</v>
      </c>
      <c r="B257" s="14">
        <v>7449</v>
      </c>
      <c r="C257" s="14"/>
      <c r="D257" s="14"/>
      <c r="E257" s="14"/>
      <c r="F257" s="14"/>
      <c r="G257" s="14"/>
    </row>
    <row r="258" spans="1:7" ht="17">
      <c r="A258" s="14">
        <v>60</v>
      </c>
      <c r="B258" s="14">
        <v>796</v>
      </c>
      <c r="C258" s="14"/>
      <c r="D258" s="14"/>
      <c r="E258" s="14"/>
      <c r="F258" s="14"/>
      <c r="G258" s="14"/>
    </row>
    <row r="259" spans="1:7" ht="17">
      <c r="A259" s="14">
        <v>61</v>
      </c>
      <c r="B259" s="14">
        <v>1667</v>
      </c>
      <c r="C259" s="14"/>
      <c r="D259" s="14"/>
      <c r="E259" s="14"/>
      <c r="F259" s="14"/>
      <c r="G259" s="14"/>
    </row>
    <row r="260" spans="1:7" ht="17">
      <c r="A260" s="14">
        <v>62</v>
      </c>
      <c r="B260" s="14">
        <v>700</v>
      </c>
      <c r="C260" s="14"/>
      <c r="D260" s="14"/>
      <c r="E260" s="14"/>
      <c r="F260" s="14"/>
      <c r="G260" s="14"/>
    </row>
    <row r="261" spans="1:7" ht="17">
      <c r="A261" s="14">
        <v>63</v>
      </c>
      <c r="B261" s="14">
        <v>2510</v>
      </c>
      <c r="C261" s="14"/>
      <c r="D261" s="14"/>
      <c r="E261" s="14"/>
      <c r="F261" s="14"/>
      <c r="G261" s="14"/>
    </row>
    <row r="262" spans="1:7" ht="17">
      <c r="A262" s="14">
        <v>64</v>
      </c>
      <c r="B262" s="14">
        <v>5873</v>
      </c>
      <c r="C262" s="14"/>
      <c r="D262" s="14"/>
      <c r="E262" s="14"/>
      <c r="F262" s="14"/>
      <c r="G262" s="14"/>
    </row>
    <row r="265" spans="1:7" ht="32">
      <c r="A265" s="1" t="s">
        <v>0</v>
      </c>
      <c r="B265" s="8" t="s">
        <v>1</v>
      </c>
      <c r="C265" s="7" t="s">
        <v>2</v>
      </c>
      <c r="D265" s="7" t="s">
        <v>3</v>
      </c>
      <c r="E265" s="9" t="s">
        <v>4</v>
      </c>
      <c r="F265" s="2" t="s">
        <v>5</v>
      </c>
      <c r="G265" s="2" t="s">
        <v>6</v>
      </c>
    </row>
    <row r="266" spans="1:7">
      <c r="A266" s="4">
        <v>5</v>
      </c>
      <c r="B266" s="4" t="s">
        <v>7</v>
      </c>
      <c r="C266" s="4" t="s">
        <v>15</v>
      </c>
      <c r="D266" s="6" t="s">
        <v>9</v>
      </c>
      <c r="E266" s="4" t="s">
        <v>16</v>
      </c>
      <c r="F266" s="6">
        <v>46</v>
      </c>
      <c r="G266" s="6">
        <v>1009</v>
      </c>
    </row>
    <row r="267" spans="1:7">
      <c r="A267" s="4">
        <v>7</v>
      </c>
      <c r="B267" s="4" t="s">
        <v>7</v>
      </c>
      <c r="C267" s="4" t="s">
        <v>15</v>
      </c>
      <c r="D267" s="4" t="s">
        <v>12</v>
      </c>
      <c r="E267" s="4" t="s">
        <v>16</v>
      </c>
      <c r="F267" s="4">
        <v>52</v>
      </c>
      <c r="G267" s="5">
        <v>274.09199999999998</v>
      </c>
    </row>
    <row r="268" spans="1:7">
      <c r="A268" s="4">
        <v>8</v>
      </c>
      <c r="B268" s="4" t="s">
        <v>7</v>
      </c>
      <c r="C268" s="4" t="s">
        <v>15</v>
      </c>
      <c r="D268" s="4" t="s">
        <v>12</v>
      </c>
      <c r="E268" s="4" t="s">
        <v>16</v>
      </c>
      <c r="F268" s="4">
        <v>61</v>
      </c>
      <c r="G268" s="5">
        <v>336.84199999999998</v>
      </c>
    </row>
    <row r="269" spans="1:7">
      <c r="A269" s="4">
        <v>10</v>
      </c>
      <c r="B269" s="4" t="s">
        <v>7</v>
      </c>
      <c r="C269" s="4" t="s">
        <v>15</v>
      </c>
      <c r="D269" s="4" t="s">
        <v>12</v>
      </c>
      <c r="E269" s="4" t="s">
        <v>16</v>
      </c>
      <c r="F269" s="4">
        <v>68</v>
      </c>
      <c r="G269" s="5">
        <v>512.04</v>
      </c>
    </row>
    <row r="270" spans="1:7">
      <c r="A270" s="4">
        <v>12</v>
      </c>
      <c r="B270" s="4" t="s">
        <v>7</v>
      </c>
      <c r="C270" s="4" t="s">
        <v>15</v>
      </c>
      <c r="D270" s="4" t="s">
        <v>12</v>
      </c>
      <c r="E270" s="4" t="s">
        <v>16</v>
      </c>
      <c r="F270" s="4">
        <v>70</v>
      </c>
      <c r="G270" s="5">
        <v>379.512</v>
      </c>
    </row>
    <row r="271" spans="1:7">
      <c r="A271" s="4">
        <v>13</v>
      </c>
      <c r="B271" s="4" t="s">
        <v>7</v>
      </c>
      <c r="C271" s="4" t="s">
        <v>15</v>
      </c>
      <c r="D271" s="4" t="s">
        <v>12</v>
      </c>
      <c r="E271" s="4" t="s">
        <v>16</v>
      </c>
      <c r="F271" s="4">
        <v>72</v>
      </c>
      <c r="G271" s="5">
        <v>397.58399999999995</v>
      </c>
    </row>
    <row r="272" spans="1:7">
      <c r="A272" s="4">
        <v>14</v>
      </c>
      <c r="B272" s="4" t="s">
        <v>7</v>
      </c>
      <c r="C272" s="4" t="s">
        <v>15</v>
      </c>
      <c r="D272" s="4" t="s">
        <v>12</v>
      </c>
      <c r="E272" s="4" t="s">
        <v>16</v>
      </c>
      <c r="F272" s="4">
        <v>73</v>
      </c>
      <c r="G272" s="5">
        <v>659.62799999999993</v>
      </c>
    </row>
    <row r="273" spans="1:7">
      <c r="A273" s="4">
        <v>15</v>
      </c>
      <c r="B273" s="4" t="s">
        <v>7</v>
      </c>
      <c r="C273" s="4" t="s">
        <v>15</v>
      </c>
      <c r="D273" s="4" t="s">
        <v>12</v>
      </c>
      <c r="E273" s="4" t="s">
        <v>16</v>
      </c>
      <c r="F273" s="4">
        <v>74</v>
      </c>
      <c r="G273" s="5">
        <v>482.92399999999998</v>
      </c>
    </row>
    <row r="274" spans="1:7">
      <c r="A274" s="4">
        <v>17</v>
      </c>
      <c r="B274" s="4" t="s">
        <v>7</v>
      </c>
      <c r="C274" s="4" t="s">
        <v>17</v>
      </c>
      <c r="D274" s="6" t="s">
        <v>14</v>
      </c>
      <c r="E274" s="4" t="s">
        <v>16</v>
      </c>
      <c r="F274" s="6">
        <v>76</v>
      </c>
      <c r="G274" s="6">
        <v>1100</v>
      </c>
    </row>
    <row r="275" spans="1:7">
      <c r="A275" s="4">
        <v>19</v>
      </c>
      <c r="B275" s="4" t="s">
        <v>7</v>
      </c>
      <c r="C275" s="4" t="s">
        <v>15</v>
      </c>
      <c r="D275" s="4" t="s">
        <v>12</v>
      </c>
      <c r="E275" s="4" t="s">
        <v>16</v>
      </c>
      <c r="F275" s="4">
        <v>79</v>
      </c>
      <c r="G275" s="5">
        <v>475.89599999999996</v>
      </c>
    </row>
    <row r="276" spans="1:7">
      <c r="A276" s="4">
        <v>21</v>
      </c>
      <c r="B276" s="4" t="s">
        <v>7</v>
      </c>
      <c r="C276" s="4" t="s">
        <v>15</v>
      </c>
      <c r="D276" s="6" t="s">
        <v>9</v>
      </c>
      <c r="E276" s="4" t="s">
        <v>16</v>
      </c>
      <c r="F276" s="6">
        <v>80</v>
      </c>
      <c r="G276" s="6">
        <v>2879</v>
      </c>
    </row>
    <row r="277" spans="1:7">
      <c r="A277" s="4">
        <v>23</v>
      </c>
      <c r="B277" s="4" t="s">
        <v>7</v>
      </c>
      <c r="C277" s="4" t="s">
        <v>15</v>
      </c>
      <c r="D277" s="4" t="s">
        <v>12</v>
      </c>
      <c r="E277" s="4" t="s">
        <v>16</v>
      </c>
      <c r="F277" s="4">
        <v>81</v>
      </c>
      <c r="G277" s="5">
        <v>691.25399999999991</v>
      </c>
    </row>
    <row r="278" spans="1:7">
      <c r="A278" s="4">
        <v>24</v>
      </c>
      <c r="B278" s="4" t="s">
        <v>7</v>
      </c>
      <c r="C278" s="4" t="s">
        <v>15</v>
      </c>
      <c r="D278" s="4" t="s">
        <v>12</v>
      </c>
      <c r="E278" s="4" t="s">
        <v>16</v>
      </c>
      <c r="F278" s="4">
        <v>83</v>
      </c>
      <c r="G278" s="5">
        <v>466.6592</v>
      </c>
    </row>
    <row r="279" spans="1:7">
      <c r="A279" s="4">
        <v>25</v>
      </c>
      <c r="B279" s="4" t="s">
        <v>7</v>
      </c>
      <c r="C279" s="4" t="s">
        <v>15</v>
      </c>
      <c r="D279" s="6" t="s">
        <v>9</v>
      </c>
      <c r="E279" s="4" t="s">
        <v>16</v>
      </c>
      <c r="F279" s="6">
        <v>83</v>
      </c>
      <c r="G279" s="6">
        <v>855</v>
      </c>
    </row>
    <row r="280" spans="1:7">
      <c r="A280" s="4">
        <v>26</v>
      </c>
      <c r="B280" s="4" t="s">
        <v>7</v>
      </c>
      <c r="C280" s="4" t="s">
        <v>15</v>
      </c>
      <c r="D280" s="4" t="s">
        <v>12</v>
      </c>
      <c r="E280" s="4" t="s">
        <v>16</v>
      </c>
      <c r="F280" s="4">
        <v>84</v>
      </c>
      <c r="G280" s="5">
        <v>421.67999999999995</v>
      </c>
    </row>
    <row r="281" spans="1:7">
      <c r="A281" s="4">
        <v>27</v>
      </c>
      <c r="B281" s="4" t="s">
        <v>7</v>
      </c>
      <c r="C281" s="4" t="s">
        <v>15</v>
      </c>
      <c r="D281" s="4" t="s">
        <v>12</v>
      </c>
      <c r="E281" s="4" t="s">
        <v>16</v>
      </c>
      <c r="F281" s="4">
        <v>85</v>
      </c>
      <c r="G281" s="5">
        <v>725.39</v>
      </c>
    </row>
    <row r="282" spans="1:7">
      <c r="A282" s="4">
        <v>30</v>
      </c>
      <c r="B282" s="4" t="s">
        <v>7</v>
      </c>
      <c r="C282" s="4" t="s">
        <v>15</v>
      </c>
      <c r="D282" s="4" t="s">
        <v>12</v>
      </c>
      <c r="E282" s="4" t="s">
        <v>16</v>
      </c>
      <c r="F282" s="4">
        <v>90</v>
      </c>
      <c r="G282" s="5">
        <v>406.61999999999995</v>
      </c>
    </row>
    <row r="283" spans="1:7">
      <c r="A283" s="4">
        <v>32</v>
      </c>
      <c r="B283" s="4" t="s">
        <v>7</v>
      </c>
      <c r="C283" s="4" t="s">
        <v>15</v>
      </c>
      <c r="D283" s="4" t="s">
        <v>12</v>
      </c>
      <c r="E283" s="4" t="s">
        <v>16</v>
      </c>
      <c r="F283" s="4">
        <v>92</v>
      </c>
      <c r="G283" s="5">
        <v>831.31200000000001</v>
      </c>
    </row>
    <row r="284" spans="1:7">
      <c r="A284" s="4">
        <v>33</v>
      </c>
      <c r="B284" s="4" t="s">
        <v>7</v>
      </c>
      <c r="C284" s="4" t="s">
        <v>15</v>
      </c>
      <c r="D284" s="4" t="s">
        <v>12</v>
      </c>
      <c r="E284" s="4" t="s">
        <v>16</v>
      </c>
      <c r="F284" s="4">
        <v>100</v>
      </c>
      <c r="G284" s="5">
        <v>702.79999999999984</v>
      </c>
    </row>
    <row r="285" spans="1:7">
      <c r="A285" s="4">
        <v>35</v>
      </c>
      <c r="B285" s="4" t="s">
        <v>7</v>
      </c>
      <c r="C285" s="4" t="s">
        <v>15</v>
      </c>
      <c r="D285" s="4" t="s">
        <v>12</v>
      </c>
      <c r="E285" s="4" t="s">
        <v>16</v>
      </c>
      <c r="F285" s="4">
        <v>102</v>
      </c>
      <c r="G285" s="5">
        <v>921.67199999999991</v>
      </c>
    </row>
    <row r="286" spans="1:7">
      <c r="A286" s="4">
        <v>36</v>
      </c>
      <c r="B286" s="4" t="s">
        <v>7</v>
      </c>
      <c r="C286" s="4" t="s">
        <v>15</v>
      </c>
      <c r="D286" s="4" t="s">
        <v>12</v>
      </c>
      <c r="E286" s="4" t="s">
        <v>16</v>
      </c>
      <c r="F286" s="4">
        <v>105</v>
      </c>
      <c r="G286" s="5">
        <v>2196.2953367875648</v>
      </c>
    </row>
    <row r="287" spans="1:7">
      <c r="A287" s="4">
        <v>37</v>
      </c>
      <c r="B287" s="4" t="s">
        <v>7</v>
      </c>
      <c r="C287" s="4" t="s">
        <v>15</v>
      </c>
      <c r="D287" s="4" t="s">
        <v>12</v>
      </c>
      <c r="E287" s="4" t="s">
        <v>16</v>
      </c>
      <c r="F287" s="4">
        <v>108</v>
      </c>
      <c r="G287" s="5">
        <v>650.59199999999998</v>
      </c>
    </row>
    <row r="288" spans="1:7">
      <c r="A288" s="4">
        <v>38</v>
      </c>
      <c r="B288" s="4" t="s">
        <v>7</v>
      </c>
      <c r="C288" s="4" t="s">
        <v>17</v>
      </c>
      <c r="D288" s="6" t="s">
        <v>14</v>
      </c>
      <c r="E288" s="4" t="s">
        <v>16</v>
      </c>
      <c r="F288" s="6">
        <v>108</v>
      </c>
      <c r="G288" s="6">
        <v>1276</v>
      </c>
    </row>
    <row r="289" spans="1:8">
      <c r="A289" s="4">
        <v>39</v>
      </c>
      <c r="B289" s="4" t="s">
        <v>7</v>
      </c>
      <c r="C289" s="4" t="s">
        <v>17</v>
      </c>
      <c r="D289" s="4" t="s">
        <v>12</v>
      </c>
      <c r="E289" s="4" t="s">
        <v>16</v>
      </c>
      <c r="F289" s="6">
        <v>110</v>
      </c>
      <c r="G289" s="6">
        <v>884</v>
      </c>
    </row>
    <row r="290" spans="1:8">
      <c r="A290" s="4">
        <v>40</v>
      </c>
      <c r="B290" s="4" t="s">
        <v>7</v>
      </c>
      <c r="C290" s="4" t="s">
        <v>15</v>
      </c>
      <c r="D290" s="4" t="s">
        <v>12</v>
      </c>
      <c r="E290" s="4" t="s">
        <v>16</v>
      </c>
      <c r="F290" s="4">
        <v>114</v>
      </c>
      <c r="G290" s="5">
        <v>502</v>
      </c>
    </row>
    <row r="291" spans="1:8">
      <c r="A291" s="4">
        <v>41</v>
      </c>
      <c r="B291" s="4" t="s">
        <v>7</v>
      </c>
      <c r="C291" s="4" t="s">
        <v>15</v>
      </c>
      <c r="D291" s="6" t="s">
        <v>9</v>
      </c>
      <c r="E291" s="4" t="s">
        <v>16</v>
      </c>
      <c r="F291" s="6">
        <v>114</v>
      </c>
      <c r="G291" s="6">
        <v>7290</v>
      </c>
      <c r="H291" s="20" t="s">
        <v>31</v>
      </c>
    </row>
    <row r="292" spans="1:8">
      <c r="A292" s="4">
        <v>42</v>
      </c>
      <c r="B292" s="4" t="s">
        <v>11</v>
      </c>
      <c r="C292" s="6" t="s">
        <v>8</v>
      </c>
      <c r="D292" s="6" t="s">
        <v>9</v>
      </c>
      <c r="E292" s="4" t="s">
        <v>16</v>
      </c>
      <c r="F292" s="6">
        <v>115</v>
      </c>
      <c r="G292" s="6">
        <v>285</v>
      </c>
    </row>
    <row r="293" spans="1:8">
      <c r="A293" s="4">
        <v>43</v>
      </c>
      <c r="B293" s="4" t="s">
        <v>7</v>
      </c>
      <c r="C293" s="4" t="s">
        <v>15</v>
      </c>
      <c r="D293" s="4" t="s">
        <v>12</v>
      </c>
      <c r="E293" s="4" t="s">
        <v>16</v>
      </c>
      <c r="F293" s="4">
        <v>115</v>
      </c>
      <c r="G293" s="5">
        <v>692.75999999999988</v>
      </c>
    </row>
    <row r="294" spans="1:8">
      <c r="A294" s="4">
        <v>44</v>
      </c>
      <c r="B294" s="4" t="s">
        <v>7</v>
      </c>
      <c r="C294" s="4" t="s">
        <v>15</v>
      </c>
      <c r="D294" s="6" t="s">
        <v>9</v>
      </c>
      <c r="E294" s="4" t="s">
        <v>16</v>
      </c>
      <c r="F294" s="4">
        <v>115</v>
      </c>
      <c r="G294" s="5">
        <v>2711.6165803108811</v>
      </c>
    </row>
    <row r="295" spans="1:8">
      <c r="A295" s="4">
        <v>45</v>
      </c>
      <c r="B295" s="4" t="s">
        <v>7</v>
      </c>
      <c r="C295" s="4" t="s">
        <v>15</v>
      </c>
      <c r="D295" s="4" t="s">
        <v>12</v>
      </c>
      <c r="E295" s="4" t="s">
        <v>16</v>
      </c>
      <c r="F295" s="4">
        <v>117</v>
      </c>
      <c r="G295" s="5">
        <v>728.30159999999989</v>
      </c>
    </row>
    <row r="296" spans="1:8">
      <c r="A296" s="4">
        <v>46</v>
      </c>
      <c r="B296" s="4" t="s">
        <v>7</v>
      </c>
      <c r="C296" s="4" t="s">
        <v>15</v>
      </c>
      <c r="D296" s="4" t="s">
        <v>12</v>
      </c>
      <c r="E296" s="4" t="s">
        <v>16</v>
      </c>
      <c r="F296" s="4">
        <v>117</v>
      </c>
      <c r="G296" s="5">
        <v>998.47799999999984</v>
      </c>
    </row>
    <row r="297" spans="1:8">
      <c r="A297" s="4">
        <v>47</v>
      </c>
      <c r="B297" s="4" t="s">
        <v>7</v>
      </c>
      <c r="C297" s="4" t="s">
        <v>15</v>
      </c>
      <c r="D297" s="4" t="s">
        <v>12</v>
      </c>
      <c r="E297" s="4" t="s">
        <v>16</v>
      </c>
      <c r="F297" s="4">
        <v>118</v>
      </c>
      <c r="G297" s="5">
        <v>1795.0673575129535</v>
      </c>
    </row>
    <row r="298" spans="1:8">
      <c r="A298" s="4">
        <v>48</v>
      </c>
      <c r="B298" s="4" t="s">
        <v>7</v>
      </c>
      <c r="C298" s="4" t="s">
        <v>17</v>
      </c>
      <c r="D298" s="4" t="s">
        <v>12</v>
      </c>
      <c r="E298" s="4" t="s">
        <v>16</v>
      </c>
      <c r="F298" s="6">
        <v>122</v>
      </c>
      <c r="G298" s="6">
        <v>1045</v>
      </c>
    </row>
    <row r="299" spans="1:8">
      <c r="A299" s="4">
        <v>49</v>
      </c>
      <c r="B299" s="4" t="s">
        <v>7</v>
      </c>
      <c r="C299" s="4" t="s">
        <v>15</v>
      </c>
      <c r="D299" s="4" t="s">
        <v>12</v>
      </c>
      <c r="E299" s="4" t="s">
        <v>16</v>
      </c>
      <c r="F299" s="4">
        <v>125</v>
      </c>
      <c r="G299" s="5">
        <v>1004</v>
      </c>
    </row>
    <row r="300" spans="1:8">
      <c r="A300" s="4">
        <v>51</v>
      </c>
      <c r="B300" s="4" t="s">
        <v>7</v>
      </c>
      <c r="C300" s="4" t="s">
        <v>15</v>
      </c>
      <c r="D300" s="4" t="s">
        <v>12</v>
      </c>
      <c r="E300" s="4" t="s">
        <v>16</v>
      </c>
      <c r="F300" s="4">
        <v>127</v>
      </c>
      <c r="G300" s="5">
        <v>1020.064</v>
      </c>
    </row>
    <row r="301" spans="1:8">
      <c r="A301" s="4">
        <v>52</v>
      </c>
      <c r="B301" s="4" t="s">
        <v>7</v>
      </c>
      <c r="C301" s="4" t="s">
        <v>15</v>
      </c>
      <c r="D301" s="4" t="s">
        <v>12</v>
      </c>
      <c r="E301" s="4" t="s">
        <v>16</v>
      </c>
      <c r="F301" s="6">
        <v>135</v>
      </c>
      <c r="G301" s="6">
        <v>1053</v>
      </c>
    </row>
    <row r="302" spans="1:8">
      <c r="A302" s="4">
        <v>54</v>
      </c>
      <c r="B302" s="4" t="s">
        <v>7</v>
      </c>
      <c r="C302" s="4" t="s">
        <v>15</v>
      </c>
      <c r="D302" s="4" t="s">
        <v>12</v>
      </c>
      <c r="E302" s="4" t="s">
        <v>16</v>
      </c>
      <c r="F302" s="4">
        <v>136</v>
      </c>
      <c r="G302" s="5">
        <v>1024.08</v>
      </c>
    </row>
    <row r="303" spans="1:8">
      <c r="A303" s="4">
        <v>55</v>
      </c>
      <c r="B303" s="4" t="s">
        <v>7</v>
      </c>
      <c r="C303" s="4" t="s">
        <v>15</v>
      </c>
      <c r="D303" s="4" t="s">
        <v>12</v>
      </c>
      <c r="E303" s="4" t="s">
        <v>16</v>
      </c>
      <c r="F303" s="4">
        <v>143</v>
      </c>
      <c r="G303" s="5">
        <v>861.4319999999999</v>
      </c>
    </row>
    <row r="304" spans="1:8">
      <c r="A304" s="4">
        <v>58</v>
      </c>
      <c r="B304" s="4" t="s">
        <v>7</v>
      </c>
      <c r="C304" s="4" t="s">
        <v>15</v>
      </c>
      <c r="D304" s="6" t="s">
        <v>9</v>
      </c>
      <c r="E304" s="4" t="s">
        <v>16</v>
      </c>
      <c r="F304" s="6">
        <v>152</v>
      </c>
      <c r="G304" s="6">
        <v>2389</v>
      </c>
    </row>
    <row r="305" spans="1:7">
      <c r="A305" s="4">
        <v>59</v>
      </c>
      <c r="B305" s="4" t="s">
        <v>7</v>
      </c>
      <c r="C305" s="4" t="s">
        <v>15</v>
      </c>
      <c r="D305" s="4" t="s">
        <v>12</v>
      </c>
      <c r="E305" s="4" t="s">
        <v>16</v>
      </c>
      <c r="F305" s="4">
        <v>153</v>
      </c>
      <c r="G305" s="5">
        <v>1228.896</v>
      </c>
    </row>
    <row r="306" spans="1:7">
      <c r="A306" s="4">
        <v>60</v>
      </c>
      <c r="B306" s="4" t="s">
        <v>7</v>
      </c>
      <c r="C306" s="4" t="s">
        <v>15</v>
      </c>
      <c r="D306" s="4" t="s">
        <v>12</v>
      </c>
      <c r="E306" s="4" t="s">
        <v>16</v>
      </c>
      <c r="F306" s="6">
        <v>156</v>
      </c>
      <c r="G306" s="6">
        <v>1025</v>
      </c>
    </row>
    <row r="307" spans="1:7">
      <c r="A307" s="4">
        <v>61</v>
      </c>
      <c r="B307" s="4" t="s">
        <v>7</v>
      </c>
      <c r="C307" s="4" t="s">
        <v>15</v>
      </c>
      <c r="D307" s="6" t="s">
        <v>9</v>
      </c>
      <c r="E307" s="4" t="s">
        <v>16</v>
      </c>
      <c r="F307" s="4">
        <v>159</v>
      </c>
      <c r="G307" s="5">
        <v>3688.6352331606213</v>
      </c>
    </row>
    <row r="308" spans="1:7">
      <c r="A308" s="4">
        <v>63</v>
      </c>
      <c r="B308" s="4" t="s">
        <v>7</v>
      </c>
      <c r="C308" s="4" t="s">
        <v>15</v>
      </c>
      <c r="D308" s="4" t="s">
        <v>12</v>
      </c>
      <c r="E308" s="4" t="s">
        <v>16</v>
      </c>
      <c r="F308" s="4">
        <v>162</v>
      </c>
      <c r="G308" s="5">
        <v>1305</v>
      </c>
    </row>
    <row r="309" spans="1:7">
      <c r="A309" s="4">
        <v>64</v>
      </c>
      <c r="B309" s="4" t="s">
        <v>7</v>
      </c>
      <c r="C309" s="4" t="s">
        <v>15</v>
      </c>
      <c r="D309" s="4" t="s">
        <v>12</v>
      </c>
      <c r="E309" s="4" t="s">
        <v>16</v>
      </c>
      <c r="F309" s="4">
        <v>162</v>
      </c>
      <c r="G309" s="5">
        <v>1903.7602072538862</v>
      </c>
    </row>
    <row r="310" spans="1:7">
      <c r="A310" s="4">
        <v>66</v>
      </c>
      <c r="B310" s="4" t="s">
        <v>7</v>
      </c>
      <c r="C310" s="4" t="s">
        <v>15</v>
      </c>
      <c r="D310" s="6" t="s">
        <v>9</v>
      </c>
      <c r="E310" s="4" t="s">
        <v>16</v>
      </c>
      <c r="F310" s="6">
        <v>174</v>
      </c>
      <c r="G310" s="6">
        <v>1876</v>
      </c>
    </row>
    <row r="311" spans="1:7">
      <c r="A311" s="4">
        <v>67</v>
      </c>
      <c r="B311" s="4" t="s">
        <v>11</v>
      </c>
      <c r="C311" s="6" t="s">
        <v>8</v>
      </c>
      <c r="D311" s="6" t="s">
        <v>9</v>
      </c>
      <c r="E311" s="4" t="s">
        <v>16</v>
      </c>
      <c r="F311" s="6">
        <v>178</v>
      </c>
      <c r="G311" s="6">
        <v>290</v>
      </c>
    </row>
    <row r="312" spans="1:7">
      <c r="A312" s="4">
        <v>68</v>
      </c>
      <c r="B312" s="4" t="s">
        <v>7</v>
      </c>
      <c r="C312" s="4" t="s">
        <v>15</v>
      </c>
      <c r="D312" s="6" t="s">
        <v>9</v>
      </c>
      <c r="E312" s="4" t="s">
        <v>16</v>
      </c>
      <c r="F312" s="6">
        <v>179</v>
      </c>
      <c r="G312" s="6">
        <v>789</v>
      </c>
    </row>
    <row r="313" spans="1:7">
      <c r="A313" s="4">
        <v>69</v>
      </c>
      <c r="B313" s="4" t="s">
        <v>7</v>
      </c>
      <c r="C313" s="4" t="s">
        <v>15</v>
      </c>
      <c r="D313" s="6" t="s">
        <v>9</v>
      </c>
      <c r="E313" s="4" t="s">
        <v>16</v>
      </c>
      <c r="F313" s="6">
        <v>180</v>
      </c>
      <c r="G313" s="6">
        <v>3063</v>
      </c>
    </row>
    <row r="314" spans="1:7">
      <c r="A314" s="4">
        <v>70</v>
      </c>
      <c r="B314" s="4" t="s">
        <v>7</v>
      </c>
      <c r="C314" s="4" t="s">
        <v>15</v>
      </c>
      <c r="D314" s="6" t="s">
        <v>9</v>
      </c>
      <c r="E314" s="4" t="s">
        <v>16</v>
      </c>
      <c r="F314" s="6">
        <v>182</v>
      </c>
      <c r="G314" s="6">
        <v>2629.2</v>
      </c>
    </row>
    <row r="315" spans="1:7">
      <c r="A315" s="4">
        <v>71</v>
      </c>
      <c r="B315" s="4" t="s">
        <v>7</v>
      </c>
      <c r="C315" s="4" t="s">
        <v>15</v>
      </c>
      <c r="D315" s="6" t="s">
        <v>14</v>
      </c>
      <c r="E315" s="4" t="s">
        <v>16</v>
      </c>
      <c r="F315" s="6">
        <v>183</v>
      </c>
      <c r="G315" s="6">
        <v>460</v>
      </c>
    </row>
    <row r="316" spans="1:7">
      <c r="A316" s="4">
        <v>72</v>
      </c>
      <c r="B316" s="4" t="s">
        <v>7</v>
      </c>
      <c r="C316" s="4" t="s">
        <v>17</v>
      </c>
      <c r="D316" s="4" t="s">
        <v>12</v>
      </c>
      <c r="E316" s="4" t="s">
        <v>16</v>
      </c>
      <c r="F316" s="6">
        <v>189</v>
      </c>
      <c r="G316" s="6">
        <v>315</v>
      </c>
    </row>
    <row r="317" spans="1:7">
      <c r="A317" s="4">
        <v>73</v>
      </c>
      <c r="B317" s="4" t="s">
        <v>7</v>
      </c>
      <c r="C317" s="4" t="s">
        <v>15</v>
      </c>
      <c r="D317" s="4" t="s">
        <v>12</v>
      </c>
      <c r="E317" s="4" t="s">
        <v>16</v>
      </c>
      <c r="F317" s="4">
        <v>193</v>
      </c>
      <c r="G317" s="5">
        <v>734</v>
      </c>
    </row>
    <row r="318" spans="1:7">
      <c r="A318" s="4">
        <v>74</v>
      </c>
      <c r="B318" s="4" t="s">
        <v>7</v>
      </c>
      <c r="C318" s="4" t="s">
        <v>17</v>
      </c>
      <c r="D318" s="4" t="s">
        <v>12</v>
      </c>
      <c r="E318" s="4" t="s">
        <v>16</v>
      </c>
      <c r="F318" s="6">
        <v>195</v>
      </c>
      <c r="G318" s="6">
        <v>322</v>
      </c>
    </row>
    <row r="319" spans="1:7">
      <c r="A319" s="4">
        <v>75</v>
      </c>
      <c r="B319" s="4" t="s">
        <v>7</v>
      </c>
      <c r="C319" s="4" t="s">
        <v>15</v>
      </c>
      <c r="D319" s="4" t="s">
        <v>12</v>
      </c>
      <c r="E319" s="4" t="s">
        <v>16</v>
      </c>
      <c r="F319" s="4">
        <v>209</v>
      </c>
      <c r="G319" s="5">
        <v>1993.4419999999996</v>
      </c>
    </row>
    <row r="320" spans="1:7">
      <c r="A320" s="4">
        <v>76</v>
      </c>
      <c r="B320" s="4" t="s">
        <v>7</v>
      </c>
      <c r="C320" s="4" t="s">
        <v>15</v>
      </c>
      <c r="D320" s="6" t="s">
        <v>9</v>
      </c>
      <c r="E320" s="4" t="s">
        <v>16</v>
      </c>
      <c r="F320" s="4">
        <v>237</v>
      </c>
      <c r="G320" s="5">
        <v>3064.5450777202072</v>
      </c>
    </row>
    <row r="321" spans="1:8">
      <c r="A321" s="4">
        <v>77</v>
      </c>
      <c r="B321" s="4" t="s">
        <v>7</v>
      </c>
      <c r="C321" s="6" t="s">
        <v>8</v>
      </c>
      <c r="D321" s="6" t="s">
        <v>9</v>
      </c>
      <c r="E321" s="4" t="s">
        <v>16</v>
      </c>
      <c r="F321" s="6">
        <v>250</v>
      </c>
      <c r="G321" s="6">
        <v>400</v>
      </c>
    </row>
    <row r="322" spans="1:8">
      <c r="A322" s="4">
        <v>78</v>
      </c>
      <c r="B322" s="4" t="s">
        <v>7</v>
      </c>
      <c r="C322" s="4" t="s">
        <v>15</v>
      </c>
      <c r="D322" s="6" t="s">
        <v>9</v>
      </c>
      <c r="E322" s="4" t="s">
        <v>16</v>
      </c>
      <c r="F322" s="4">
        <v>297</v>
      </c>
      <c r="G322" s="5">
        <v>2683.6919999999996</v>
      </c>
    </row>
    <row r="323" spans="1:8">
      <c r="A323" s="4">
        <v>79</v>
      </c>
      <c r="B323" s="4" t="s">
        <v>7</v>
      </c>
      <c r="C323" s="4" t="s">
        <v>15</v>
      </c>
      <c r="D323" s="6" t="s">
        <v>9</v>
      </c>
      <c r="E323" s="4" t="s">
        <v>16</v>
      </c>
      <c r="F323" s="6">
        <v>297</v>
      </c>
      <c r="G323" s="6">
        <v>7449</v>
      </c>
      <c r="H323" s="20" t="s">
        <v>31</v>
      </c>
    </row>
    <row r="324" spans="1:8">
      <c r="A324" s="4">
        <v>80</v>
      </c>
      <c r="B324" s="4" t="s">
        <v>7</v>
      </c>
      <c r="C324" s="4" t="s">
        <v>15</v>
      </c>
      <c r="D324" s="4" t="s">
        <v>12</v>
      </c>
      <c r="E324" s="4" t="s">
        <v>16</v>
      </c>
      <c r="F324" s="4">
        <v>310</v>
      </c>
      <c r="G324" s="5">
        <v>933.7199999999998</v>
      </c>
    </row>
    <row r="325" spans="1:8">
      <c r="A325" s="4">
        <v>82</v>
      </c>
      <c r="B325" s="4" t="s">
        <v>7</v>
      </c>
      <c r="C325" s="4" t="s">
        <v>17</v>
      </c>
      <c r="D325" s="6" t="s">
        <v>9</v>
      </c>
      <c r="E325" s="4" t="s">
        <v>16</v>
      </c>
      <c r="F325" s="6">
        <v>443</v>
      </c>
      <c r="G325" s="6">
        <v>796</v>
      </c>
      <c r="H325" s="20" t="s">
        <v>31</v>
      </c>
    </row>
    <row r="326" spans="1:8">
      <c r="A326" s="4">
        <v>83</v>
      </c>
      <c r="B326" s="4" t="s">
        <v>7</v>
      </c>
      <c r="C326" s="4" t="s">
        <v>15</v>
      </c>
      <c r="D326" s="6" t="s">
        <v>9</v>
      </c>
      <c r="E326" s="4" t="s">
        <v>16</v>
      </c>
      <c r="F326" s="6">
        <v>460</v>
      </c>
      <c r="G326" s="6">
        <v>1667</v>
      </c>
      <c r="H326" s="20" t="s">
        <v>31</v>
      </c>
    </row>
    <row r="327" spans="1:8">
      <c r="A327" s="4">
        <v>84</v>
      </c>
      <c r="B327" s="4" t="s">
        <v>7</v>
      </c>
      <c r="C327" s="6" t="s">
        <v>8</v>
      </c>
      <c r="D327" s="6" t="s">
        <v>9</v>
      </c>
      <c r="E327" s="4" t="s">
        <v>16</v>
      </c>
      <c r="F327" s="6">
        <v>500</v>
      </c>
      <c r="G327" s="6">
        <v>700</v>
      </c>
      <c r="H327" s="20" t="s">
        <v>31</v>
      </c>
    </row>
    <row r="328" spans="1:8">
      <c r="A328" s="4">
        <v>85</v>
      </c>
      <c r="B328" s="4" t="s">
        <v>7</v>
      </c>
      <c r="C328" s="4" t="s">
        <v>15</v>
      </c>
      <c r="D328" s="6" t="s">
        <v>9</v>
      </c>
      <c r="E328" s="4" t="s">
        <v>16</v>
      </c>
      <c r="F328" s="4">
        <v>500</v>
      </c>
      <c r="G328" s="5">
        <v>2510</v>
      </c>
      <c r="H328" s="20" t="s">
        <v>31</v>
      </c>
    </row>
    <row r="329" spans="1:8">
      <c r="A329" s="4">
        <v>86</v>
      </c>
      <c r="B329" s="4" t="s">
        <v>7</v>
      </c>
      <c r="C329" s="4" t="s">
        <v>15</v>
      </c>
      <c r="D329" s="6" t="s">
        <v>9</v>
      </c>
      <c r="E329" s="4" t="s">
        <v>16</v>
      </c>
      <c r="F329" s="6">
        <v>568</v>
      </c>
      <c r="G329" s="6">
        <v>5873</v>
      </c>
      <c r="H329" s="20" t="s">
        <v>31</v>
      </c>
    </row>
    <row r="332" spans="1:8" ht="32">
      <c r="A332" s="1" t="s">
        <v>0</v>
      </c>
      <c r="B332" s="8" t="s">
        <v>1</v>
      </c>
      <c r="C332" s="7" t="s">
        <v>2</v>
      </c>
      <c r="D332" s="7" t="s">
        <v>3</v>
      </c>
      <c r="E332" s="9" t="s">
        <v>4</v>
      </c>
      <c r="F332" s="2" t="s">
        <v>5</v>
      </c>
      <c r="G332" s="2" t="s">
        <v>6</v>
      </c>
    </row>
    <row r="333" spans="1:8">
      <c r="A333" s="4">
        <v>5</v>
      </c>
      <c r="B333" s="4" t="s">
        <v>7</v>
      </c>
      <c r="C333" s="4" t="s">
        <v>15</v>
      </c>
      <c r="D333" s="6" t="s">
        <v>9</v>
      </c>
      <c r="E333" s="4" t="s">
        <v>16</v>
      </c>
      <c r="F333" s="6">
        <v>46</v>
      </c>
      <c r="G333" s="6">
        <v>1009</v>
      </c>
    </row>
    <row r="334" spans="1:8">
      <c r="A334" s="4">
        <v>7</v>
      </c>
      <c r="B334" s="4" t="s">
        <v>7</v>
      </c>
      <c r="C334" s="4" t="s">
        <v>15</v>
      </c>
      <c r="D334" s="4" t="s">
        <v>12</v>
      </c>
      <c r="E334" s="4" t="s">
        <v>16</v>
      </c>
      <c r="F334" s="4">
        <v>52</v>
      </c>
      <c r="G334" s="5">
        <v>274.09199999999998</v>
      </c>
    </row>
    <row r="335" spans="1:8">
      <c r="A335" s="4">
        <v>8</v>
      </c>
      <c r="B335" s="4" t="s">
        <v>7</v>
      </c>
      <c r="C335" s="4" t="s">
        <v>15</v>
      </c>
      <c r="D335" s="4" t="s">
        <v>12</v>
      </c>
      <c r="E335" s="4" t="s">
        <v>16</v>
      </c>
      <c r="F335" s="4">
        <v>61</v>
      </c>
      <c r="G335" s="5">
        <v>336.84199999999998</v>
      </c>
    </row>
    <row r="336" spans="1:8">
      <c r="A336" s="4">
        <v>10</v>
      </c>
      <c r="B336" s="4" t="s">
        <v>7</v>
      </c>
      <c r="C336" s="4" t="s">
        <v>15</v>
      </c>
      <c r="D336" s="4" t="s">
        <v>12</v>
      </c>
      <c r="E336" s="4" t="s">
        <v>16</v>
      </c>
      <c r="F336" s="4">
        <v>68</v>
      </c>
      <c r="G336" s="5">
        <v>512.04</v>
      </c>
    </row>
    <row r="337" spans="1:7">
      <c r="A337" s="4">
        <v>12</v>
      </c>
      <c r="B337" s="4" t="s">
        <v>7</v>
      </c>
      <c r="C337" s="4" t="s">
        <v>15</v>
      </c>
      <c r="D337" s="4" t="s">
        <v>12</v>
      </c>
      <c r="E337" s="4" t="s">
        <v>16</v>
      </c>
      <c r="F337" s="4">
        <v>70</v>
      </c>
      <c r="G337" s="5">
        <v>379.512</v>
      </c>
    </row>
    <row r="338" spans="1:7">
      <c r="A338" s="4">
        <v>13</v>
      </c>
      <c r="B338" s="4" t="s">
        <v>7</v>
      </c>
      <c r="C338" s="4" t="s">
        <v>15</v>
      </c>
      <c r="D338" s="4" t="s">
        <v>12</v>
      </c>
      <c r="E338" s="4" t="s">
        <v>16</v>
      </c>
      <c r="F338" s="4">
        <v>72</v>
      </c>
      <c r="G338" s="5">
        <v>397.58399999999995</v>
      </c>
    </row>
    <row r="339" spans="1:7">
      <c r="A339" s="4">
        <v>14</v>
      </c>
      <c r="B339" s="4" t="s">
        <v>7</v>
      </c>
      <c r="C339" s="4" t="s">
        <v>15</v>
      </c>
      <c r="D339" s="4" t="s">
        <v>12</v>
      </c>
      <c r="E339" s="4" t="s">
        <v>16</v>
      </c>
      <c r="F339" s="4">
        <v>73</v>
      </c>
      <c r="G339" s="5">
        <v>659.62799999999993</v>
      </c>
    </row>
    <row r="340" spans="1:7">
      <c r="A340" s="4">
        <v>15</v>
      </c>
      <c r="B340" s="4" t="s">
        <v>7</v>
      </c>
      <c r="C340" s="4" t="s">
        <v>15</v>
      </c>
      <c r="D340" s="4" t="s">
        <v>12</v>
      </c>
      <c r="E340" s="4" t="s">
        <v>16</v>
      </c>
      <c r="F340" s="4">
        <v>74</v>
      </c>
      <c r="G340" s="5">
        <v>482.92399999999998</v>
      </c>
    </row>
    <row r="341" spans="1:7">
      <c r="A341" s="4">
        <v>17</v>
      </c>
      <c r="B341" s="4" t="s">
        <v>7</v>
      </c>
      <c r="C341" s="4" t="s">
        <v>17</v>
      </c>
      <c r="D341" s="6" t="s">
        <v>14</v>
      </c>
      <c r="E341" s="4" t="s">
        <v>16</v>
      </c>
      <c r="F341" s="6">
        <v>76</v>
      </c>
      <c r="G341" s="6">
        <v>1100</v>
      </c>
    </row>
    <row r="342" spans="1:7">
      <c r="A342" s="4">
        <v>19</v>
      </c>
      <c r="B342" s="4" t="s">
        <v>7</v>
      </c>
      <c r="C342" s="4" t="s">
        <v>15</v>
      </c>
      <c r="D342" s="4" t="s">
        <v>12</v>
      </c>
      <c r="E342" s="4" t="s">
        <v>16</v>
      </c>
      <c r="F342" s="4">
        <v>79</v>
      </c>
      <c r="G342" s="5">
        <v>475.89599999999996</v>
      </c>
    </row>
    <row r="343" spans="1:7">
      <c r="A343" s="4">
        <v>21</v>
      </c>
      <c r="B343" s="4" t="s">
        <v>7</v>
      </c>
      <c r="C343" s="4" t="s">
        <v>15</v>
      </c>
      <c r="D343" s="6" t="s">
        <v>9</v>
      </c>
      <c r="E343" s="4" t="s">
        <v>16</v>
      </c>
      <c r="F343" s="6">
        <v>80</v>
      </c>
      <c r="G343" s="6">
        <v>2879</v>
      </c>
    </row>
    <row r="344" spans="1:7">
      <c r="A344" s="4">
        <v>23</v>
      </c>
      <c r="B344" s="4" t="s">
        <v>7</v>
      </c>
      <c r="C344" s="4" t="s">
        <v>15</v>
      </c>
      <c r="D344" s="4" t="s">
        <v>12</v>
      </c>
      <c r="E344" s="4" t="s">
        <v>16</v>
      </c>
      <c r="F344" s="4">
        <v>81</v>
      </c>
      <c r="G344" s="5">
        <v>691.25399999999991</v>
      </c>
    </row>
    <row r="345" spans="1:7">
      <c r="A345" s="4">
        <v>24</v>
      </c>
      <c r="B345" s="4" t="s">
        <v>7</v>
      </c>
      <c r="C345" s="4" t="s">
        <v>15</v>
      </c>
      <c r="D345" s="4" t="s">
        <v>12</v>
      </c>
      <c r="E345" s="4" t="s">
        <v>16</v>
      </c>
      <c r="F345" s="4">
        <v>83</v>
      </c>
      <c r="G345" s="5">
        <v>466.6592</v>
      </c>
    </row>
    <row r="346" spans="1:7">
      <c r="A346" s="4">
        <v>25</v>
      </c>
      <c r="B346" s="4" t="s">
        <v>7</v>
      </c>
      <c r="C346" s="4" t="s">
        <v>15</v>
      </c>
      <c r="D346" s="6" t="s">
        <v>9</v>
      </c>
      <c r="E346" s="4" t="s">
        <v>16</v>
      </c>
      <c r="F346" s="6">
        <v>83</v>
      </c>
      <c r="G346" s="6">
        <v>855</v>
      </c>
    </row>
    <row r="347" spans="1:7">
      <c r="A347" s="4">
        <v>26</v>
      </c>
      <c r="B347" s="4" t="s">
        <v>7</v>
      </c>
      <c r="C347" s="4" t="s">
        <v>15</v>
      </c>
      <c r="D347" s="4" t="s">
        <v>12</v>
      </c>
      <c r="E347" s="4" t="s">
        <v>16</v>
      </c>
      <c r="F347" s="4">
        <v>84</v>
      </c>
      <c r="G347" s="5">
        <v>421.67999999999995</v>
      </c>
    </row>
    <row r="348" spans="1:7">
      <c r="A348" s="4">
        <v>27</v>
      </c>
      <c r="B348" s="4" t="s">
        <v>7</v>
      </c>
      <c r="C348" s="4" t="s">
        <v>15</v>
      </c>
      <c r="D348" s="4" t="s">
        <v>12</v>
      </c>
      <c r="E348" s="4" t="s">
        <v>16</v>
      </c>
      <c r="F348" s="4">
        <v>85</v>
      </c>
      <c r="G348" s="5">
        <v>725.39</v>
      </c>
    </row>
    <row r="349" spans="1:7">
      <c r="A349" s="4">
        <v>30</v>
      </c>
      <c r="B349" s="4" t="s">
        <v>7</v>
      </c>
      <c r="C349" s="4" t="s">
        <v>15</v>
      </c>
      <c r="D349" s="4" t="s">
        <v>12</v>
      </c>
      <c r="E349" s="4" t="s">
        <v>16</v>
      </c>
      <c r="F349" s="4">
        <v>90</v>
      </c>
      <c r="G349" s="5">
        <v>406.61999999999995</v>
      </c>
    </row>
    <row r="350" spans="1:7">
      <c r="A350" s="4">
        <v>32</v>
      </c>
      <c r="B350" s="4" t="s">
        <v>7</v>
      </c>
      <c r="C350" s="4" t="s">
        <v>15</v>
      </c>
      <c r="D350" s="4" t="s">
        <v>12</v>
      </c>
      <c r="E350" s="4" t="s">
        <v>16</v>
      </c>
      <c r="F350" s="4">
        <v>92</v>
      </c>
      <c r="G350" s="5">
        <v>831.31200000000001</v>
      </c>
    </row>
    <row r="351" spans="1:7">
      <c r="A351" s="4">
        <v>33</v>
      </c>
      <c r="B351" s="4" t="s">
        <v>7</v>
      </c>
      <c r="C351" s="4" t="s">
        <v>15</v>
      </c>
      <c r="D351" s="4" t="s">
        <v>12</v>
      </c>
      <c r="E351" s="4" t="s">
        <v>16</v>
      </c>
      <c r="F351" s="4">
        <v>100</v>
      </c>
      <c r="G351" s="5">
        <v>702.79999999999984</v>
      </c>
    </row>
    <row r="352" spans="1:7">
      <c r="A352" s="4">
        <v>35</v>
      </c>
      <c r="B352" s="4" t="s">
        <v>7</v>
      </c>
      <c r="C352" s="4" t="s">
        <v>15</v>
      </c>
      <c r="D352" s="4" t="s">
        <v>12</v>
      </c>
      <c r="E352" s="4" t="s">
        <v>16</v>
      </c>
      <c r="F352" s="4">
        <v>102</v>
      </c>
      <c r="G352" s="5">
        <v>921.67199999999991</v>
      </c>
    </row>
    <row r="353" spans="1:7">
      <c r="A353" s="4">
        <v>36</v>
      </c>
      <c r="B353" s="4" t="s">
        <v>7</v>
      </c>
      <c r="C353" s="4" t="s">
        <v>15</v>
      </c>
      <c r="D353" s="4" t="s">
        <v>12</v>
      </c>
      <c r="E353" s="4" t="s">
        <v>16</v>
      </c>
      <c r="F353" s="4">
        <v>105</v>
      </c>
      <c r="G353" s="5">
        <v>2196.2953367875648</v>
      </c>
    </row>
    <row r="354" spans="1:7">
      <c r="A354" s="4">
        <v>37</v>
      </c>
      <c r="B354" s="4" t="s">
        <v>7</v>
      </c>
      <c r="C354" s="4" t="s">
        <v>15</v>
      </c>
      <c r="D354" s="4" t="s">
        <v>12</v>
      </c>
      <c r="E354" s="4" t="s">
        <v>16</v>
      </c>
      <c r="F354" s="4">
        <v>108</v>
      </c>
      <c r="G354" s="5">
        <v>650.59199999999998</v>
      </c>
    </row>
    <row r="355" spans="1:7">
      <c r="A355" s="4">
        <v>38</v>
      </c>
      <c r="B355" s="4" t="s">
        <v>7</v>
      </c>
      <c r="C355" s="4" t="s">
        <v>17</v>
      </c>
      <c r="D355" s="6" t="s">
        <v>14</v>
      </c>
      <c r="E355" s="4" t="s">
        <v>16</v>
      </c>
      <c r="F355" s="6">
        <v>108</v>
      </c>
      <c r="G355" s="6">
        <v>1276</v>
      </c>
    </row>
    <row r="356" spans="1:7">
      <c r="A356" s="4">
        <v>39</v>
      </c>
      <c r="B356" s="4" t="s">
        <v>7</v>
      </c>
      <c r="C356" s="4" t="s">
        <v>17</v>
      </c>
      <c r="D356" s="4" t="s">
        <v>12</v>
      </c>
      <c r="E356" s="4" t="s">
        <v>16</v>
      </c>
      <c r="F356" s="6">
        <v>110</v>
      </c>
      <c r="G356" s="6">
        <v>884</v>
      </c>
    </row>
    <row r="357" spans="1:7">
      <c r="A357" s="4">
        <v>40</v>
      </c>
      <c r="B357" s="4" t="s">
        <v>7</v>
      </c>
      <c r="C357" s="4" t="s">
        <v>15</v>
      </c>
      <c r="D357" s="4" t="s">
        <v>12</v>
      </c>
      <c r="E357" s="4" t="s">
        <v>16</v>
      </c>
      <c r="F357" s="4">
        <v>114</v>
      </c>
      <c r="G357" s="5">
        <v>502</v>
      </c>
    </row>
    <row r="358" spans="1:7">
      <c r="A358" s="4">
        <v>42</v>
      </c>
      <c r="B358" s="4" t="s">
        <v>11</v>
      </c>
      <c r="C358" s="6" t="s">
        <v>8</v>
      </c>
      <c r="D358" s="6" t="s">
        <v>9</v>
      </c>
      <c r="E358" s="4" t="s">
        <v>16</v>
      </c>
      <c r="F358" s="6">
        <v>115</v>
      </c>
      <c r="G358" s="6">
        <v>285</v>
      </c>
    </row>
    <row r="359" spans="1:7">
      <c r="A359" s="4">
        <v>43</v>
      </c>
      <c r="B359" s="4" t="s">
        <v>7</v>
      </c>
      <c r="C359" s="4" t="s">
        <v>15</v>
      </c>
      <c r="D359" s="4" t="s">
        <v>12</v>
      </c>
      <c r="E359" s="4" t="s">
        <v>16</v>
      </c>
      <c r="F359" s="4">
        <v>115</v>
      </c>
      <c r="G359" s="5">
        <v>692.75999999999988</v>
      </c>
    </row>
    <row r="360" spans="1:7">
      <c r="A360" s="4">
        <v>44</v>
      </c>
      <c r="B360" s="4" t="s">
        <v>7</v>
      </c>
      <c r="C360" s="4" t="s">
        <v>15</v>
      </c>
      <c r="D360" s="6" t="s">
        <v>9</v>
      </c>
      <c r="E360" s="4" t="s">
        <v>16</v>
      </c>
      <c r="F360" s="4">
        <v>115</v>
      </c>
      <c r="G360" s="5">
        <v>2711.6165803108811</v>
      </c>
    </row>
    <row r="361" spans="1:7">
      <c r="A361" s="4">
        <v>45</v>
      </c>
      <c r="B361" s="4" t="s">
        <v>7</v>
      </c>
      <c r="C361" s="4" t="s">
        <v>15</v>
      </c>
      <c r="D361" s="4" t="s">
        <v>12</v>
      </c>
      <c r="E361" s="4" t="s">
        <v>16</v>
      </c>
      <c r="F361" s="4">
        <v>117</v>
      </c>
      <c r="G361" s="5">
        <v>728.30159999999989</v>
      </c>
    </row>
    <row r="362" spans="1:7">
      <c r="A362" s="4">
        <v>46</v>
      </c>
      <c r="B362" s="4" t="s">
        <v>7</v>
      </c>
      <c r="C362" s="4" t="s">
        <v>15</v>
      </c>
      <c r="D362" s="4" t="s">
        <v>12</v>
      </c>
      <c r="E362" s="4" t="s">
        <v>16</v>
      </c>
      <c r="F362" s="4">
        <v>117</v>
      </c>
      <c r="G362" s="5">
        <v>998.47799999999984</v>
      </c>
    </row>
    <row r="363" spans="1:7">
      <c r="A363" s="4">
        <v>47</v>
      </c>
      <c r="B363" s="4" t="s">
        <v>7</v>
      </c>
      <c r="C363" s="4" t="s">
        <v>15</v>
      </c>
      <c r="D363" s="4" t="s">
        <v>12</v>
      </c>
      <c r="E363" s="4" t="s">
        <v>16</v>
      </c>
      <c r="F363" s="4">
        <v>118</v>
      </c>
      <c r="G363" s="5">
        <v>1795.0673575129535</v>
      </c>
    </row>
    <row r="364" spans="1:7">
      <c r="A364" s="4">
        <v>48</v>
      </c>
      <c r="B364" s="4" t="s">
        <v>7</v>
      </c>
      <c r="C364" s="4" t="s">
        <v>17</v>
      </c>
      <c r="D364" s="4" t="s">
        <v>12</v>
      </c>
      <c r="E364" s="4" t="s">
        <v>16</v>
      </c>
      <c r="F364" s="6">
        <v>122</v>
      </c>
      <c r="G364" s="6">
        <v>1045</v>
      </c>
    </row>
    <row r="365" spans="1:7">
      <c r="A365" s="4">
        <v>49</v>
      </c>
      <c r="B365" s="4" t="s">
        <v>7</v>
      </c>
      <c r="C365" s="4" t="s">
        <v>15</v>
      </c>
      <c r="D365" s="4" t="s">
        <v>12</v>
      </c>
      <c r="E365" s="4" t="s">
        <v>16</v>
      </c>
      <c r="F365" s="4">
        <v>125</v>
      </c>
      <c r="G365" s="5">
        <v>1004</v>
      </c>
    </row>
    <row r="366" spans="1:7">
      <c r="A366" s="4">
        <v>51</v>
      </c>
      <c r="B366" s="4" t="s">
        <v>7</v>
      </c>
      <c r="C366" s="4" t="s">
        <v>15</v>
      </c>
      <c r="D366" s="4" t="s">
        <v>12</v>
      </c>
      <c r="E366" s="4" t="s">
        <v>16</v>
      </c>
      <c r="F366" s="4">
        <v>127</v>
      </c>
      <c r="G366" s="5">
        <v>1020.064</v>
      </c>
    </row>
    <row r="367" spans="1:7">
      <c r="A367" s="4">
        <v>52</v>
      </c>
      <c r="B367" s="4" t="s">
        <v>7</v>
      </c>
      <c r="C367" s="4" t="s">
        <v>15</v>
      </c>
      <c r="D367" s="4" t="s">
        <v>12</v>
      </c>
      <c r="E367" s="4" t="s">
        <v>16</v>
      </c>
      <c r="F367" s="6">
        <v>135</v>
      </c>
      <c r="G367" s="6">
        <v>1053</v>
      </c>
    </row>
    <row r="368" spans="1:7">
      <c r="A368" s="4">
        <v>54</v>
      </c>
      <c r="B368" s="4" t="s">
        <v>7</v>
      </c>
      <c r="C368" s="4" t="s">
        <v>15</v>
      </c>
      <c r="D368" s="4" t="s">
        <v>12</v>
      </c>
      <c r="E368" s="4" t="s">
        <v>16</v>
      </c>
      <c r="F368" s="4">
        <v>136</v>
      </c>
      <c r="G368" s="5">
        <v>1024.08</v>
      </c>
    </row>
    <row r="369" spans="1:7">
      <c r="A369" s="4">
        <v>55</v>
      </c>
      <c r="B369" s="4" t="s">
        <v>7</v>
      </c>
      <c r="C369" s="4" t="s">
        <v>15</v>
      </c>
      <c r="D369" s="4" t="s">
        <v>12</v>
      </c>
      <c r="E369" s="4" t="s">
        <v>16</v>
      </c>
      <c r="F369" s="4">
        <v>143</v>
      </c>
      <c r="G369" s="5">
        <v>861.4319999999999</v>
      </c>
    </row>
    <row r="370" spans="1:7">
      <c r="A370" s="4">
        <v>58</v>
      </c>
      <c r="B370" s="4" t="s">
        <v>7</v>
      </c>
      <c r="C370" s="4" t="s">
        <v>15</v>
      </c>
      <c r="D370" s="6" t="s">
        <v>9</v>
      </c>
      <c r="E370" s="4" t="s">
        <v>16</v>
      </c>
      <c r="F370" s="6">
        <v>152</v>
      </c>
      <c r="G370" s="6">
        <v>2389</v>
      </c>
    </row>
    <row r="371" spans="1:7">
      <c r="A371" s="4">
        <v>59</v>
      </c>
      <c r="B371" s="4" t="s">
        <v>7</v>
      </c>
      <c r="C371" s="4" t="s">
        <v>15</v>
      </c>
      <c r="D371" s="4" t="s">
        <v>12</v>
      </c>
      <c r="E371" s="4" t="s">
        <v>16</v>
      </c>
      <c r="F371" s="4">
        <v>153</v>
      </c>
      <c r="G371" s="5">
        <v>1228.896</v>
      </c>
    </row>
    <row r="372" spans="1:7">
      <c r="A372" s="4">
        <v>60</v>
      </c>
      <c r="B372" s="4" t="s">
        <v>7</v>
      </c>
      <c r="C372" s="4" t="s">
        <v>15</v>
      </c>
      <c r="D372" s="4" t="s">
        <v>12</v>
      </c>
      <c r="E372" s="4" t="s">
        <v>16</v>
      </c>
      <c r="F372" s="6">
        <v>156</v>
      </c>
      <c r="G372" s="6">
        <v>1025</v>
      </c>
    </row>
    <row r="373" spans="1:7">
      <c r="A373" s="4">
        <v>61</v>
      </c>
      <c r="B373" s="4" t="s">
        <v>7</v>
      </c>
      <c r="C373" s="4" t="s">
        <v>15</v>
      </c>
      <c r="D373" s="6" t="s">
        <v>9</v>
      </c>
      <c r="E373" s="4" t="s">
        <v>16</v>
      </c>
      <c r="F373" s="4">
        <v>159</v>
      </c>
      <c r="G373" s="5">
        <v>3688.6352331606213</v>
      </c>
    </row>
    <row r="374" spans="1:7">
      <c r="A374" s="4">
        <v>63</v>
      </c>
      <c r="B374" s="4" t="s">
        <v>7</v>
      </c>
      <c r="C374" s="4" t="s">
        <v>15</v>
      </c>
      <c r="D374" s="4" t="s">
        <v>12</v>
      </c>
      <c r="E374" s="4" t="s">
        <v>16</v>
      </c>
      <c r="F374" s="4">
        <v>162</v>
      </c>
      <c r="G374" s="5">
        <v>1305</v>
      </c>
    </row>
    <row r="375" spans="1:7">
      <c r="A375" s="4">
        <v>64</v>
      </c>
      <c r="B375" s="4" t="s">
        <v>7</v>
      </c>
      <c r="C375" s="4" t="s">
        <v>15</v>
      </c>
      <c r="D375" s="4" t="s">
        <v>12</v>
      </c>
      <c r="E375" s="4" t="s">
        <v>16</v>
      </c>
      <c r="F375" s="4">
        <v>162</v>
      </c>
      <c r="G375" s="5">
        <v>1903.7602072538862</v>
      </c>
    </row>
    <row r="376" spans="1:7">
      <c r="A376" s="4">
        <v>66</v>
      </c>
      <c r="B376" s="4" t="s">
        <v>7</v>
      </c>
      <c r="C376" s="4" t="s">
        <v>15</v>
      </c>
      <c r="D376" s="6" t="s">
        <v>9</v>
      </c>
      <c r="E376" s="4" t="s">
        <v>16</v>
      </c>
      <c r="F376" s="6">
        <v>174</v>
      </c>
      <c r="G376" s="6">
        <v>1876</v>
      </c>
    </row>
    <row r="377" spans="1:7">
      <c r="A377" s="4">
        <v>67</v>
      </c>
      <c r="B377" s="4" t="s">
        <v>11</v>
      </c>
      <c r="C377" s="6" t="s">
        <v>8</v>
      </c>
      <c r="D377" s="6" t="s">
        <v>9</v>
      </c>
      <c r="E377" s="4" t="s">
        <v>16</v>
      </c>
      <c r="F377" s="6">
        <v>178</v>
      </c>
      <c r="G377" s="6">
        <v>290</v>
      </c>
    </row>
    <row r="378" spans="1:7">
      <c r="A378" s="4">
        <v>68</v>
      </c>
      <c r="B378" s="4" t="s">
        <v>7</v>
      </c>
      <c r="C378" s="4" t="s">
        <v>15</v>
      </c>
      <c r="D378" s="6" t="s">
        <v>9</v>
      </c>
      <c r="E378" s="4" t="s">
        <v>16</v>
      </c>
      <c r="F378" s="6">
        <v>179</v>
      </c>
      <c r="G378" s="6">
        <v>789</v>
      </c>
    </row>
    <row r="379" spans="1:7">
      <c r="A379" s="4">
        <v>69</v>
      </c>
      <c r="B379" s="4" t="s">
        <v>7</v>
      </c>
      <c r="C379" s="4" t="s">
        <v>15</v>
      </c>
      <c r="D379" s="6" t="s">
        <v>9</v>
      </c>
      <c r="E379" s="4" t="s">
        <v>16</v>
      </c>
      <c r="F379" s="6">
        <v>180</v>
      </c>
      <c r="G379" s="6">
        <v>3063</v>
      </c>
    </row>
    <row r="380" spans="1:7">
      <c r="A380" s="4">
        <v>70</v>
      </c>
      <c r="B380" s="4" t="s">
        <v>7</v>
      </c>
      <c r="C380" s="4" t="s">
        <v>15</v>
      </c>
      <c r="D380" s="6" t="s">
        <v>9</v>
      </c>
      <c r="E380" s="4" t="s">
        <v>16</v>
      </c>
      <c r="F380" s="6">
        <v>182</v>
      </c>
      <c r="G380" s="6">
        <v>2629.2</v>
      </c>
    </row>
    <row r="381" spans="1:7">
      <c r="A381" s="4">
        <v>71</v>
      </c>
      <c r="B381" s="4" t="s">
        <v>7</v>
      </c>
      <c r="C381" s="4" t="s">
        <v>15</v>
      </c>
      <c r="D381" s="6" t="s">
        <v>14</v>
      </c>
      <c r="E381" s="4" t="s">
        <v>16</v>
      </c>
      <c r="F381" s="6">
        <v>183</v>
      </c>
      <c r="G381" s="6">
        <v>460</v>
      </c>
    </row>
    <row r="382" spans="1:7">
      <c r="A382" s="4">
        <v>72</v>
      </c>
      <c r="B382" s="4" t="s">
        <v>7</v>
      </c>
      <c r="C382" s="4" t="s">
        <v>17</v>
      </c>
      <c r="D382" s="4" t="s">
        <v>12</v>
      </c>
      <c r="E382" s="4" t="s">
        <v>16</v>
      </c>
      <c r="F382" s="6">
        <v>189</v>
      </c>
      <c r="G382" s="6">
        <v>315</v>
      </c>
    </row>
    <row r="383" spans="1:7">
      <c r="A383" s="4">
        <v>73</v>
      </c>
      <c r="B383" s="4" t="s">
        <v>7</v>
      </c>
      <c r="C383" s="4" t="s">
        <v>15</v>
      </c>
      <c r="D383" s="4" t="s">
        <v>12</v>
      </c>
      <c r="E383" s="4" t="s">
        <v>16</v>
      </c>
      <c r="F383" s="4">
        <v>193</v>
      </c>
      <c r="G383" s="5">
        <v>734</v>
      </c>
    </row>
    <row r="384" spans="1:7">
      <c r="A384" s="4">
        <v>74</v>
      </c>
      <c r="B384" s="4" t="s">
        <v>7</v>
      </c>
      <c r="C384" s="4" t="s">
        <v>17</v>
      </c>
      <c r="D384" s="4" t="s">
        <v>12</v>
      </c>
      <c r="E384" s="4" t="s">
        <v>16</v>
      </c>
      <c r="F384" s="6">
        <v>195</v>
      </c>
      <c r="G384" s="6">
        <v>322</v>
      </c>
    </row>
    <row r="385" spans="1:7">
      <c r="A385" s="4">
        <v>75</v>
      </c>
      <c r="B385" s="4" t="s">
        <v>7</v>
      </c>
      <c r="C385" s="4" t="s">
        <v>15</v>
      </c>
      <c r="D385" s="4" t="s">
        <v>12</v>
      </c>
      <c r="E385" s="4" t="s">
        <v>16</v>
      </c>
      <c r="F385" s="4">
        <v>209</v>
      </c>
      <c r="G385" s="5">
        <v>1993.4419999999996</v>
      </c>
    </row>
    <row r="386" spans="1:7">
      <c r="A386" s="4">
        <v>76</v>
      </c>
      <c r="B386" s="4" t="s">
        <v>7</v>
      </c>
      <c r="C386" s="4" t="s">
        <v>15</v>
      </c>
      <c r="D386" s="6" t="s">
        <v>9</v>
      </c>
      <c r="E386" s="4" t="s">
        <v>16</v>
      </c>
      <c r="F386" s="4">
        <v>237</v>
      </c>
      <c r="G386" s="5">
        <v>3064.5450777202072</v>
      </c>
    </row>
    <row r="387" spans="1:7">
      <c r="A387" s="4">
        <v>77</v>
      </c>
      <c r="B387" s="4" t="s">
        <v>7</v>
      </c>
      <c r="C387" s="6" t="s">
        <v>8</v>
      </c>
      <c r="D387" s="6" t="s">
        <v>9</v>
      </c>
      <c r="E387" s="4" t="s">
        <v>16</v>
      </c>
      <c r="F387" s="6">
        <v>250</v>
      </c>
      <c r="G387" s="6">
        <v>400</v>
      </c>
    </row>
    <row r="388" spans="1:7">
      <c r="A388" s="4">
        <v>78</v>
      </c>
      <c r="B388" s="4" t="s">
        <v>7</v>
      </c>
      <c r="C388" s="4" t="s">
        <v>15</v>
      </c>
      <c r="D388" s="6" t="s">
        <v>9</v>
      </c>
      <c r="E388" s="4" t="s">
        <v>16</v>
      </c>
      <c r="F388" s="4">
        <v>297</v>
      </c>
      <c r="G388" s="5">
        <v>2683.6919999999996</v>
      </c>
    </row>
    <row r="389" spans="1:7">
      <c r="A389" s="4">
        <v>80</v>
      </c>
      <c r="B389" s="4" t="s">
        <v>7</v>
      </c>
      <c r="C389" s="4" t="s">
        <v>15</v>
      </c>
      <c r="D389" s="4" t="s">
        <v>12</v>
      </c>
      <c r="E389" s="4" t="s">
        <v>16</v>
      </c>
      <c r="F389" s="4">
        <v>310</v>
      </c>
      <c r="G389" s="5">
        <v>933.7199999999998</v>
      </c>
    </row>
    <row r="391" spans="1:7">
      <c r="A391" t="s">
        <v>28</v>
      </c>
    </row>
    <row r="392" spans="1:7" ht="20">
      <c r="A392" s="13" t="s">
        <v>29</v>
      </c>
    </row>
    <row r="393" spans="1:7" ht="17">
      <c r="A393" s="14" t="s">
        <v>30</v>
      </c>
      <c r="B393" s="14" t="s">
        <v>6</v>
      </c>
      <c r="C393" s="14"/>
      <c r="D393" s="14"/>
      <c r="E393" s="14"/>
      <c r="F393" s="14"/>
      <c r="G393" s="14"/>
    </row>
    <row r="394" spans="1:7" ht="17">
      <c r="A394" s="14">
        <v>11</v>
      </c>
      <c r="B394" s="14">
        <v>2879</v>
      </c>
      <c r="C394" s="14"/>
      <c r="D394" s="14"/>
      <c r="E394" s="14"/>
      <c r="F394" s="14"/>
      <c r="G394" s="14"/>
    </row>
    <row r="395" spans="1:7" ht="17">
      <c r="A395" s="14">
        <v>28</v>
      </c>
      <c r="B395" s="14">
        <v>2712</v>
      </c>
      <c r="C395" s="14"/>
      <c r="D395" s="14"/>
      <c r="E395" s="14"/>
      <c r="F395" s="14"/>
      <c r="G395" s="14"/>
    </row>
    <row r="396" spans="1:7" ht="17">
      <c r="A396" s="14">
        <v>41</v>
      </c>
      <c r="B396" s="14">
        <v>3689</v>
      </c>
      <c r="C396" s="14"/>
      <c r="D396" s="14"/>
      <c r="E396" s="14"/>
      <c r="F396" s="14"/>
      <c r="G396" s="14"/>
    </row>
    <row r="397" spans="1:7" ht="17">
      <c r="A397" s="14">
        <v>47</v>
      </c>
      <c r="B397" s="14">
        <v>3063</v>
      </c>
      <c r="C397" s="14"/>
      <c r="D397" s="14"/>
      <c r="E397" s="14"/>
      <c r="F397" s="14"/>
      <c r="G397" s="14"/>
    </row>
    <row r="398" spans="1:7" ht="17">
      <c r="A398" s="14">
        <v>56</v>
      </c>
      <c r="B398" s="14">
        <v>2684</v>
      </c>
      <c r="C398" s="14"/>
      <c r="D398" s="14"/>
      <c r="E398" s="14"/>
      <c r="F398" s="14"/>
      <c r="G398" s="14"/>
    </row>
    <row r="399" spans="1:7" ht="17">
      <c r="A399" s="14">
        <v>57</v>
      </c>
      <c r="B399" s="14">
        <v>934</v>
      </c>
      <c r="C399" s="14"/>
      <c r="D399" s="14"/>
      <c r="E399" s="14"/>
      <c r="F399" s="14"/>
      <c r="G399" s="14"/>
    </row>
    <row r="401" spans="1:8" ht="32">
      <c r="A401" s="1" t="s">
        <v>0</v>
      </c>
      <c r="B401" s="8" t="s">
        <v>1</v>
      </c>
      <c r="C401" s="7" t="s">
        <v>2</v>
      </c>
      <c r="D401" s="7" t="s">
        <v>3</v>
      </c>
      <c r="E401" s="9" t="s">
        <v>4</v>
      </c>
      <c r="F401" s="2" t="s">
        <v>5</v>
      </c>
      <c r="G401" s="2" t="s">
        <v>6</v>
      </c>
    </row>
    <row r="402" spans="1:8">
      <c r="A402" s="4">
        <v>5</v>
      </c>
      <c r="B402" s="4" t="s">
        <v>7</v>
      </c>
      <c r="C402" s="4" t="s">
        <v>15</v>
      </c>
      <c r="D402" s="6" t="s">
        <v>9</v>
      </c>
      <c r="E402" s="4" t="s">
        <v>16</v>
      </c>
      <c r="F402" s="6">
        <v>46</v>
      </c>
      <c r="G402" s="6">
        <v>1009</v>
      </c>
    </row>
    <row r="403" spans="1:8">
      <c r="A403" s="4">
        <v>7</v>
      </c>
      <c r="B403" s="4" t="s">
        <v>7</v>
      </c>
      <c r="C403" s="4" t="s">
        <v>15</v>
      </c>
      <c r="D403" s="4" t="s">
        <v>12</v>
      </c>
      <c r="E403" s="4" t="s">
        <v>16</v>
      </c>
      <c r="F403" s="4">
        <v>52</v>
      </c>
      <c r="G403" s="5">
        <v>274.09199999999998</v>
      </c>
    </row>
    <row r="404" spans="1:8">
      <c r="A404" s="4">
        <v>8</v>
      </c>
      <c r="B404" s="4" t="s">
        <v>7</v>
      </c>
      <c r="C404" s="4" t="s">
        <v>15</v>
      </c>
      <c r="D404" s="4" t="s">
        <v>12</v>
      </c>
      <c r="E404" s="4" t="s">
        <v>16</v>
      </c>
      <c r="F404" s="4">
        <v>61</v>
      </c>
      <c r="G404" s="5">
        <v>336.84199999999998</v>
      </c>
    </row>
    <row r="405" spans="1:8">
      <c r="A405" s="4">
        <v>10</v>
      </c>
      <c r="B405" s="4" t="s">
        <v>7</v>
      </c>
      <c r="C405" s="4" t="s">
        <v>15</v>
      </c>
      <c r="D405" s="4" t="s">
        <v>12</v>
      </c>
      <c r="E405" s="4" t="s">
        <v>16</v>
      </c>
      <c r="F405" s="4">
        <v>68</v>
      </c>
      <c r="G405" s="5">
        <v>512.04</v>
      </c>
    </row>
    <row r="406" spans="1:8">
      <c r="A406" s="4">
        <v>12</v>
      </c>
      <c r="B406" s="4" t="s">
        <v>7</v>
      </c>
      <c r="C406" s="4" t="s">
        <v>15</v>
      </c>
      <c r="D406" s="4" t="s">
        <v>12</v>
      </c>
      <c r="E406" s="4" t="s">
        <v>16</v>
      </c>
      <c r="F406" s="4">
        <v>70</v>
      </c>
      <c r="G406" s="5">
        <v>379.512</v>
      </c>
    </row>
    <row r="407" spans="1:8">
      <c r="A407" s="4">
        <v>13</v>
      </c>
      <c r="B407" s="4" t="s">
        <v>7</v>
      </c>
      <c r="C407" s="4" t="s">
        <v>15</v>
      </c>
      <c r="D407" s="4" t="s">
        <v>12</v>
      </c>
      <c r="E407" s="4" t="s">
        <v>16</v>
      </c>
      <c r="F407" s="4">
        <v>72</v>
      </c>
      <c r="G407" s="5">
        <v>397.58399999999995</v>
      </c>
    </row>
    <row r="408" spans="1:8">
      <c r="A408" s="4">
        <v>14</v>
      </c>
      <c r="B408" s="4" t="s">
        <v>7</v>
      </c>
      <c r="C408" s="4" t="s">
        <v>15</v>
      </c>
      <c r="D408" s="4" t="s">
        <v>12</v>
      </c>
      <c r="E408" s="4" t="s">
        <v>16</v>
      </c>
      <c r="F408" s="4">
        <v>73</v>
      </c>
      <c r="G408" s="5">
        <v>659.62799999999993</v>
      </c>
    </row>
    <row r="409" spans="1:8">
      <c r="A409" s="4">
        <v>15</v>
      </c>
      <c r="B409" s="4" t="s">
        <v>7</v>
      </c>
      <c r="C409" s="4" t="s">
        <v>15</v>
      </c>
      <c r="D409" s="4" t="s">
        <v>12</v>
      </c>
      <c r="E409" s="4" t="s">
        <v>16</v>
      </c>
      <c r="F409" s="4">
        <v>74</v>
      </c>
      <c r="G409" s="5">
        <v>482.92399999999998</v>
      </c>
    </row>
    <row r="410" spans="1:8">
      <c r="A410" s="4">
        <v>17</v>
      </c>
      <c r="B410" s="4" t="s">
        <v>7</v>
      </c>
      <c r="C410" s="4" t="s">
        <v>17</v>
      </c>
      <c r="D410" s="6" t="s">
        <v>14</v>
      </c>
      <c r="E410" s="4" t="s">
        <v>16</v>
      </c>
      <c r="F410" s="6">
        <v>76</v>
      </c>
      <c r="G410" s="6">
        <v>1100</v>
      </c>
    </row>
    <row r="411" spans="1:8">
      <c r="A411" s="4">
        <v>19</v>
      </c>
      <c r="B411" s="4" t="s">
        <v>7</v>
      </c>
      <c r="C411" s="4" t="s">
        <v>15</v>
      </c>
      <c r="D411" s="4" t="s">
        <v>12</v>
      </c>
      <c r="E411" s="4" t="s">
        <v>16</v>
      </c>
      <c r="F411" s="4">
        <v>79</v>
      </c>
      <c r="G411" s="5">
        <v>475.89599999999996</v>
      </c>
    </row>
    <row r="412" spans="1:8">
      <c r="A412" s="4">
        <v>21</v>
      </c>
      <c r="B412" s="4" t="s">
        <v>7</v>
      </c>
      <c r="C412" s="4" t="s">
        <v>15</v>
      </c>
      <c r="D412" s="6" t="s">
        <v>9</v>
      </c>
      <c r="E412" s="4" t="s">
        <v>16</v>
      </c>
      <c r="F412" s="6">
        <v>80</v>
      </c>
      <c r="G412" s="6">
        <v>2879</v>
      </c>
      <c r="H412" s="20" t="s">
        <v>31</v>
      </c>
    </row>
    <row r="413" spans="1:8">
      <c r="A413" s="4">
        <v>23</v>
      </c>
      <c r="B413" s="4" t="s">
        <v>7</v>
      </c>
      <c r="C413" s="4" t="s">
        <v>15</v>
      </c>
      <c r="D413" s="4" t="s">
        <v>12</v>
      </c>
      <c r="E413" s="4" t="s">
        <v>16</v>
      </c>
      <c r="F413" s="4">
        <v>81</v>
      </c>
      <c r="G413" s="5">
        <v>691.25399999999991</v>
      </c>
    </row>
    <row r="414" spans="1:8">
      <c r="A414" s="4">
        <v>24</v>
      </c>
      <c r="B414" s="4" t="s">
        <v>7</v>
      </c>
      <c r="C414" s="4" t="s">
        <v>15</v>
      </c>
      <c r="D414" s="4" t="s">
        <v>12</v>
      </c>
      <c r="E414" s="4" t="s">
        <v>16</v>
      </c>
      <c r="F414" s="4">
        <v>83</v>
      </c>
      <c r="G414" s="5">
        <v>466.6592</v>
      </c>
    </row>
    <row r="415" spans="1:8">
      <c r="A415" s="4">
        <v>25</v>
      </c>
      <c r="B415" s="4" t="s">
        <v>7</v>
      </c>
      <c r="C415" s="4" t="s">
        <v>15</v>
      </c>
      <c r="D415" s="6" t="s">
        <v>9</v>
      </c>
      <c r="E415" s="4" t="s">
        <v>16</v>
      </c>
      <c r="F415" s="6">
        <v>83</v>
      </c>
      <c r="G415" s="6">
        <v>855</v>
      </c>
    </row>
    <row r="416" spans="1:8">
      <c r="A416" s="4">
        <v>26</v>
      </c>
      <c r="B416" s="4" t="s">
        <v>7</v>
      </c>
      <c r="C416" s="4" t="s">
        <v>15</v>
      </c>
      <c r="D416" s="4" t="s">
        <v>12</v>
      </c>
      <c r="E416" s="4" t="s">
        <v>16</v>
      </c>
      <c r="F416" s="4">
        <v>84</v>
      </c>
      <c r="G416" s="5">
        <v>421.67999999999995</v>
      </c>
    </row>
    <row r="417" spans="1:8">
      <c r="A417" s="4">
        <v>27</v>
      </c>
      <c r="B417" s="4" t="s">
        <v>7</v>
      </c>
      <c r="C417" s="4" t="s">
        <v>15</v>
      </c>
      <c r="D417" s="4" t="s">
        <v>12</v>
      </c>
      <c r="E417" s="4" t="s">
        <v>16</v>
      </c>
      <c r="F417" s="4">
        <v>85</v>
      </c>
      <c r="G417" s="5">
        <v>725.39</v>
      </c>
    </row>
    <row r="418" spans="1:8">
      <c r="A418" s="4">
        <v>30</v>
      </c>
      <c r="B418" s="4" t="s">
        <v>7</v>
      </c>
      <c r="C418" s="4" t="s">
        <v>15</v>
      </c>
      <c r="D418" s="4" t="s">
        <v>12</v>
      </c>
      <c r="E418" s="4" t="s">
        <v>16</v>
      </c>
      <c r="F418" s="4">
        <v>90</v>
      </c>
      <c r="G418" s="5">
        <v>406.61999999999995</v>
      </c>
    </row>
    <row r="419" spans="1:8">
      <c r="A419" s="4">
        <v>32</v>
      </c>
      <c r="B419" s="4" t="s">
        <v>7</v>
      </c>
      <c r="C419" s="4" t="s">
        <v>15</v>
      </c>
      <c r="D419" s="4" t="s">
        <v>12</v>
      </c>
      <c r="E419" s="4" t="s">
        <v>16</v>
      </c>
      <c r="F419" s="4">
        <v>92</v>
      </c>
      <c r="G419" s="5">
        <v>831.31200000000001</v>
      </c>
    </row>
    <row r="420" spans="1:8">
      <c r="A420" s="4">
        <v>33</v>
      </c>
      <c r="B420" s="4" t="s">
        <v>7</v>
      </c>
      <c r="C420" s="4" t="s">
        <v>15</v>
      </c>
      <c r="D420" s="4" t="s">
        <v>12</v>
      </c>
      <c r="E420" s="4" t="s">
        <v>16</v>
      </c>
      <c r="F420" s="4">
        <v>100</v>
      </c>
      <c r="G420" s="5">
        <v>702.79999999999984</v>
      </c>
    </row>
    <row r="421" spans="1:8">
      <c r="A421" s="4">
        <v>35</v>
      </c>
      <c r="B421" s="4" t="s">
        <v>7</v>
      </c>
      <c r="C421" s="4" t="s">
        <v>15</v>
      </c>
      <c r="D421" s="4" t="s">
        <v>12</v>
      </c>
      <c r="E421" s="4" t="s">
        <v>16</v>
      </c>
      <c r="F421" s="4">
        <v>102</v>
      </c>
      <c r="G421" s="5">
        <v>921.67199999999991</v>
      </c>
    </row>
    <row r="422" spans="1:8">
      <c r="A422" s="4">
        <v>36</v>
      </c>
      <c r="B422" s="4" t="s">
        <v>7</v>
      </c>
      <c r="C422" s="4" t="s">
        <v>15</v>
      </c>
      <c r="D422" s="4" t="s">
        <v>12</v>
      </c>
      <c r="E422" s="4" t="s">
        <v>16</v>
      </c>
      <c r="F422" s="4">
        <v>105</v>
      </c>
      <c r="G422" s="5">
        <v>2196.2953367875648</v>
      </c>
    </row>
    <row r="423" spans="1:8">
      <c r="A423" s="4">
        <v>37</v>
      </c>
      <c r="B423" s="4" t="s">
        <v>7</v>
      </c>
      <c r="C423" s="4" t="s">
        <v>15</v>
      </c>
      <c r="D423" s="4" t="s">
        <v>12</v>
      </c>
      <c r="E423" s="4" t="s">
        <v>16</v>
      </c>
      <c r="F423" s="4">
        <v>108</v>
      </c>
      <c r="G423" s="5">
        <v>650.59199999999998</v>
      </c>
    </row>
    <row r="424" spans="1:8">
      <c r="A424" s="4">
        <v>38</v>
      </c>
      <c r="B424" s="4" t="s">
        <v>7</v>
      </c>
      <c r="C424" s="4" t="s">
        <v>17</v>
      </c>
      <c r="D424" s="6" t="s">
        <v>14</v>
      </c>
      <c r="E424" s="4" t="s">
        <v>16</v>
      </c>
      <c r="F424" s="6">
        <v>108</v>
      </c>
      <c r="G424" s="6">
        <v>1276</v>
      </c>
    </row>
    <row r="425" spans="1:8">
      <c r="A425" s="4">
        <v>39</v>
      </c>
      <c r="B425" s="4" t="s">
        <v>7</v>
      </c>
      <c r="C425" s="4" t="s">
        <v>17</v>
      </c>
      <c r="D425" s="4" t="s">
        <v>12</v>
      </c>
      <c r="E425" s="4" t="s">
        <v>16</v>
      </c>
      <c r="F425" s="6">
        <v>110</v>
      </c>
      <c r="G425" s="6">
        <v>884</v>
      </c>
    </row>
    <row r="426" spans="1:8">
      <c r="A426" s="4">
        <v>40</v>
      </c>
      <c r="B426" s="4" t="s">
        <v>7</v>
      </c>
      <c r="C426" s="4" t="s">
        <v>15</v>
      </c>
      <c r="D426" s="4" t="s">
        <v>12</v>
      </c>
      <c r="E426" s="4" t="s">
        <v>16</v>
      </c>
      <c r="F426" s="4">
        <v>114</v>
      </c>
      <c r="G426" s="5">
        <v>502</v>
      </c>
    </row>
    <row r="427" spans="1:8">
      <c r="A427" s="4">
        <v>42</v>
      </c>
      <c r="B427" s="4" t="s">
        <v>11</v>
      </c>
      <c r="C427" s="6" t="s">
        <v>8</v>
      </c>
      <c r="D427" s="6" t="s">
        <v>9</v>
      </c>
      <c r="E427" s="4" t="s">
        <v>16</v>
      </c>
      <c r="F427" s="6">
        <v>115</v>
      </c>
      <c r="G427" s="6">
        <v>285</v>
      </c>
    </row>
    <row r="428" spans="1:8">
      <c r="A428" s="4">
        <v>43</v>
      </c>
      <c r="B428" s="4" t="s">
        <v>7</v>
      </c>
      <c r="C428" s="4" t="s">
        <v>15</v>
      </c>
      <c r="D428" s="4" t="s">
        <v>12</v>
      </c>
      <c r="E428" s="4" t="s">
        <v>16</v>
      </c>
      <c r="F428" s="4">
        <v>115</v>
      </c>
      <c r="G428" s="5">
        <v>692.75999999999988</v>
      </c>
    </row>
    <row r="429" spans="1:8">
      <c r="A429" s="4">
        <v>44</v>
      </c>
      <c r="B429" s="4" t="s">
        <v>7</v>
      </c>
      <c r="C429" s="4" t="s">
        <v>15</v>
      </c>
      <c r="D429" s="6" t="s">
        <v>9</v>
      </c>
      <c r="E429" s="4" t="s">
        <v>16</v>
      </c>
      <c r="F429" s="4">
        <v>115</v>
      </c>
      <c r="G429" s="5">
        <v>2711.6165803108811</v>
      </c>
      <c r="H429" s="20" t="s">
        <v>31</v>
      </c>
    </row>
    <row r="430" spans="1:8">
      <c r="A430" s="4">
        <v>45</v>
      </c>
      <c r="B430" s="4" t="s">
        <v>7</v>
      </c>
      <c r="C430" s="4" t="s">
        <v>15</v>
      </c>
      <c r="D430" s="4" t="s">
        <v>12</v>
      </c>
      <c r="E430" s="4" t="s">
        <v>16</v>
      </c>
      <c r="F430" s="4">
        <v>117</v>
      </c>
      <c r="G430" s="5">
        <v>728.30159999999989</v>
      </c>
    </row>
    <row r="431" spans="1:8">
      <c r="A431" s="4">
        <v>46</v>
      </c>
      <c r="B431" s="4" t="s">
        <v>7</v>
      </c>
      <c r="C431" s="4" t="s">
        <v>15</v>
      </c>
      <c r="D431" s="4" t="s">
        <v>12</v>
      </c>
      <c r="E431" s="4" t="s">
        <v>16</v>
      </c>
      <c r="F431" s="4">
        <v>117</v>
      </c>
      <c r="G431" s="5">
        <v>998.47799999999984</v>
      </c>
    </row>
    <row r="432" spans="1:8">
      <c r="A432" s="4">
        <v>47</v>
      </c>
      <c r="B432" s="4" t="s">
        <v>7</v>
      </c>
      <c r="C432" s="4" t="s">
        <v>15</v>
      </c>
      <c r="D432" s="4" t="s">
        <v>12</v>
      </c>
      <c r="E432" s="4" t="s">
        <v>16</v>
      </c>
      <c r="F432" s="4">
        <v>118</v>
      </c>
      <c r="G432" s="5">
        <v>1795.0673575129535</v>
      </c>
    </row>
    <row r="433" spans="1:8">
      <c r="A433" s="4">
        <v>48</v>
      </c>
      <c r="B433" s="4" t="s">
        <v>7</v>
      </c>
      <c r="C433" s="4" t="s">
        <v>17</v>
      </c>
      <c r="D433" s="4" t="s">
        <v>12</v>
      </c>
      <c r="E433" s="4" t="s">
        <v>16</v>
      </c>
      <c r="F433" s="6">
        <v>122</v>
      </c>
      <c r="G433" s="6">
        <v>1045</v>
      </c>
    </row>
    <row r="434" spans="1:8">
      <c r="A434" s="4">
        <v>49</v>
      </c>
      <c r="B434" s="4" t="s">
        <v>7</v>
      </c>
      <c r="C434" s="4" t="s">
        <v>15</v>
      </c>
      <c r="D434" s="4" t="s">
        <v>12</v>
      </c>
      <c r="E434" s="4" t="s">
        <v>16</v>
      </c>
      <c r="F434" s="4">
        <v>125</v>
      </c>
      <c r="G434" s="5">
        <v>1004</v>
      </c>
    </row>
    <row r="435" spans="1:8">
      <c r="A435" s="4">
        <v>51</v>
      </c>
      <c r="B435" s="4" t="s">
        <v>7</v>
      </c>
      <c r="C435" s="4" t="s">
        <v>15</v>
      </c>
      <c r="D435" s="4" t="s">
        <v>12</v>
      </c>
      <c r="E435" s="4" t="s">
        <v>16</v>
      </c>
      <c r="F435" s="4">
        <v>127</v>
      </c>
      <c r="G435" s="5">
        <v>1020.064</v>
      </c>
    </row>
    <row r="436" spans="1:8">
      <c r="A436" s="4">
        <v>52</v>
      </c>
      <c r="B436" s="4" t="s">
        <v>7</v>
      </c>
      <c r="C436" s="4" t="s">
        <v>15</v>
      </c>
      <c r="D436" s="4" t="s">
        <v>12</v>
      </c>
      <c r="E436" s="4" t="s">
        <v>16</v>
      </c>
      <c r="F436" s="6">
        <v>135</v>
      </c>
      <c r="G436" s="6">
        <v>1053</v>
      </c>
    </row>
    <row r="437" spans="1:8">
      <c r="A437" s="4">
        <v>54</v>
      </c>
      <c r="B437" s="4" t="s">
        <v>7</v>
      </c>
      <c r="C437" s="4" t="s">
        <v>15</v>
      </c>
      <c r="D437" s="4" t="s">
        <v>12</v>
      </c>
      <c r="E437" s="4" t="s">
        <v>16</v>
      </c>
      <c r="F437" s="4">
        <v>136</v>
      </c>
      <c r="G437" s="5">
        <v>1024.08</v>
      </c>
    </row>
    <row r="438" spans="1:8">
      <c r="A438" s="4">
        <v>55</v>
      </c>
      <c r="B438" s="4" t="s">
        <v>7</v>
      </c>
      <c r="C438" s="4" t="s">
        <v>15</v>
      </c>
      <c r="D438" s="4" t="s">
        <v>12</v>
      </c>
      <c r="E438" s="4" t="s">
        <v>16</v>
      </c>
      <c r="F438" s="4">
        <v>143</v>
      </c>
      <c r="G438" s="5">
        <v>861.4319999999999</v>
      </c>
    </row>
    <row r="439" spans="1:8">
      <c r="A439" s="4">
        <v>58</v>
      </c>
      <c r="B439" s="4" t="s">
        <v>7</v>
      </c>
      <c r="C439" s="4" t="s">
        <v>15</v>
      </c>
      <c r="D439" s="6" t="s">
        <v>9</v>
      </c>
      <c r="E439" s="4" t="s">
        <v>16</v>
      </c>
      <c r="F439" s="6">
        <v>152</v>
      </c>
      <c r="G439" s="6">
        <v>2389</v>
      </c>
    </row>
    <row r="440" spans="1:8">
      <c r="A440" s="4">
        <v>59</v>
      </c>
      <c r="B440" s="4" t="s">
        <v>7</v>
      </c>
      <c r="C440" s="4" t="s">
        <v>15</v>
      </c>
      <c r="D440" s="4" t="s">
        <v>12</v>
      </c>
      <c r="E440" s="4" t="s">
        <v>16</v>
      </c>
      <c r="F440" s="4">
        <v>153</v>
      </c>
      <c r="G440" s="5">
        <v>1228.896</v>
      </c>
    </row>
    <row r="441" spans="1:8">
      <c r="A441" s="4">
        <v>60</v>
      </c>
      <c r="B441" s="4" t="s">
        <v>7</v>
      </c>
      <c r="C441" s="4" t="s">
        <v>15</v>
      </c>
      <c r="D441" s="4" t="s">
        <v>12</v>
      </c>
      <c r="E441" s="4" t="s">
        <v>16</v>
      </c>
      <c r="F441" s="6">
        <v>156</v>
      </c>
      <c r="G441" s="6">
        <v>1025</v>
      </c>
    </row>
    <row r="442" spans="1:8">
      <c r="A442" s="4">
        <v>61</v>
      </c>
      <c r="B442" s="4" t="s">
        <v>7</v>
      </c>
      <c r="C442" s="4" t="s">
        <v>15</v>
      </c>
      <c r="D442" s="6" t="s">
        <v>9</v>
      </c>
      <c r="E442" s="4" t="s">
        <v>16</v>
      </c>
      <c r="F442" s="4">
        <v>159</v>
      </c>
      <c r="G442" s="5">
        <v>3688.6352331606213</v>
      </c>
      <c r="H442" s="20" t="s">
        <v>31</v>
      </c>
    </row>
    <row r="443" spans="1:8">
      <c r="A443" s="4">
        <v>63</v>
      </c>
      <c r="B443" s="4" t="s">
        <v>7</v>
      </c>
      <c r="C443" s="4" t="s">
        <v>15</v>
      </c>
      <c r="D443" s="4" t="s">
        <v>12</v>
      </c>
      <c r="E443" s="4" t="s">
        <v>16</v>
      </c>
      <c r="F443" s="4">
        <v>162</v>
      </c>
      <c r="G443" s="5">
        <v>1305</v>
      </c>
    </row>
    <row r="444" spans="1:8">
      <c r="A444" s="4">
        <v>64</v>
      </c>
      <c r="B444" s="4" t="s">
        <v>7</v>
      </c>
      <c r="C444" s="4" t="s">
        <v>15</v>
      </c>
      <c r="D444" s="4" t="s">
        <v>12</v>
      </c>
      <c r="E444" s="4" t="s">
        <v>16</v>
      </c>
      <c r="F444" s="4">
        <v>162</v>
      </c>
      <c r="G444" s="5">
        <v>1903.7602072538862</v>
      </c>
    </row>
    <row r="445" spans="1:8">
      <c r="A445" s="4">
        <v>66</v>
      </c>
      <c r="B445" s="4" t="s">
        <v>7</v>
      </c>
      <c r="C445" s="4" t="s">
        <v>15</v>
      </c>
      <c r="D445" s="6" t="s">
        <v>9</v>
      </c>
      <c r="E445" s="4" t="s">
        <v>16</v>
      </c>
      <c r="F445" s="6">
        <v>174</v>
      </c>
      <c r="G445" s="6">
        <v>1876</v>
      </c>
    </row>
    <row r="446" spans="1:8">
      <c r="A446" s="4">
        <v>67</v>
      </c>
      <c r="B446" s="4" t="s">
        <v>11</v>
      </c>
      <c r="C446" s="6" t="s">
        <v>8</v>
      </c>
      <c r="D446" s="6" t="s">
        <v>9</v>
      </c>
      <c r="E446" s="4" t="s">
        <v>16</v>
      </c>
      <c r="F446" s="6">
        <v>178</v>
      </c>
      <c r="G446" s="6">
        <v>290</v>
      </c>
    </row>
    <row r="447" spans="1:8">
      <c r="A447" s="4">
        <v>68</v>
      </c>
      <c r="B447" s="4" t="s">
        <v>7</v>
      </c>
      <c r="C447" s="4" t="s">
        <v>15</v>
      </c>
      <c r="D447" s="6" t="s">
        <v>9</v>
      </c>
      <c r="E447" s="4" t="s">
        <v>16</v>
      </c>
      <c r="F447" s="6">
        <v>179</v>
      </c>
      <c r="G447" s="6">
        <v>789</v>
      </c>
    </row>
    <row r="448" spans="1:8">
      <c r="A448" s="4">
        <v>69</v>
      </c>
      <c r="B448" s="4" t="s">
        <v>7</v>
      </c>
      <c r="C448" s="4" t="s">
        <v>15</v>
      </c>
      <c r="D448" s="6" t="s">
        <v>9</v>
      </c>
      <c r="E448" s="4" t="s">
        <v>16</v>
      </c>
      <c r="F448" s="6">
        <v>180</v>
      </c>
      <c r="G448" s="6">
        <v>3063</v>
      </c>
      <c r="H448" s="20" t="s">
        <v>31</v>
      </c>
    </row>
    <row r="449" spans="1:8">
      <c r="A449" s="4">
        <v>70</v>
      </c>
      <c r="B449" s="4" t="s">
        <v>7</v>
      </c>
      <c r="C449" s="4" t="s">
        <v>15</v>
      </c>
      <c r="D449" s="6" t="s">
        <v>9</v>
      </c>
      <c r="E449" s="4" t="s">
        <v>16</v>
      </c>
      <c r="F449" s="6">
        <v>182</v>
      </c>
      <c r="G449" s="6">
        <v>2629.2</v>
      </c>
    </row>
    <row r="450" spans="1:8">
      <c r="A450" s="4">
        <v>71</v>
      </c>
      <c r="B450" s="4" t="s">
        <v>7</v>
      </c>
      <c r="C450" s="4" t="s">
        <v>15</v>
      </c>
      <c r="D450" s="6" t="s">
        <v>14</v>
      </c>
      <c r="E450" s="4" t="s">
        <v>16</v>
      </c>
      <c r="F450" s="6">
        <v>183</v>
      </c>
      <c r="G450" s="6">
        <v>460</v>
      </c>
    </row>
    <row r="451" spans="1:8">
      <c r="A451" s="4">
        <v>72</v>
      </c>
      <c r="B451" s="4" t="s">
        <v>7</v>
      </c>
      <c r="C451" s="4" t="s">
        <v>17</v>
      </c>
      <c r="D451" s="4" t="s">
        <v>12</v>
      </c>
      <c r="E451" s="4" t="s">
        <v>16</v>
      </c>
      <c r="F451" s="6">
        <v>189</v>
      </c>
      <c r="G451" s="6">
        <v>315</v>
      </c>
    </row>
    <row r="452" spans="1:8">
      <c r="A452" s="4">
        <v>73</v>
      </c>
      <c r="B452" s="4" t="s">
        <v>7</v>
      </c>
      <c r="C452" s="4" t="s">
        <v>15</v>
      </c>
      <c r="D452" s="4" t="s">
        <v>12</v>
      </c>
      <c r="E452" s="4" t="s">
        <v>16</v>
      </c>
      <c r="F452" s="4">
        <v>193</v>
      </c>
      <c r="G452" s="5">
        <v>734</v>
      </c>
    </row>
    <row r="453" spans="1:8">
      <c r="A453" s="4">
        <v>74</v>
      </c>
      <c r="B453" s="4" t="s">
        <v>7</v>
      </c>
      <c r="C453" s="4" t="s">
        <v>17</v>
      </c>
      <c r="D453" s="4" t="s">
        <v>12</v>
      </c>
      <c r="E453" s="4" t="s">
        <v>16</v>
      </c>
      <c r="F453" s="6">
        <v>195</v>
      </c>
      <c r="G453" s="6">
        <v>322</v>
      </c>
    </row>
    <row r="454" spans="1:8">
      <c r="A454" s="4">
        <v>75</v>
      </c>
      <c r="B454" s="4" t="s">
        <v>7</v>
      </c>
      <c r="C454" s="4" t="s">
        <v>15</v>
      </c>
      <c r="D454" s="4" t="s">
        <v>12</v>
      </c>
      <c r="E454" s="4" t="s">
        <v>16</v>
      </c>
      <c r="F454" s="4">
        <v>209</v>
      </c>
      <c r="G454" s="5">
        <v>1993.4419999999996</v>
      </c>
    </row>
    <row r="455" spans="1:8">
      <c r="A455" s="4">
        <v>76</v>
      </c>
      <c r="B455" s="4" t="s">
        <v>7</v>
      </c>
      <c r="C455" s="4" t="s">
        <v>15</v>
      </c>
      <c r="D455" s="6" t="s">
        <v>9</v>
      </c>
      <c r="E455" s="4" t="s">
        <v>16</v>
      </c>
      <c r="F455" s="4">
        <v>237</v>
      </c>
      <c r="G455" s="5">
        <v>3064.5450777202072</v>
      </c>
    </row>
    <row r="456" spans="1:8">
      <c r="A456" s="4">
        <v>77</v>
      </c>
      <c r="B456" s="4" t="s">
        <v>7</v>
      </c>
      <c r="C456" s="6" t="s">
        <v>8</v>
      </c>
      <c r="D456" s="6" t="s">
        <v>9</v>
      </c>
      <c r="E456" s="4" t="s">
        <v>16</v>
      </c>
      <c r="F456" s="6">
        <v>250</v>
      </c>
      <c r="G456" s="6">
        <v>400</v>
      </c>
    </row>
    <row r="457" spans="1:8">
      <c r="A457" s="4">
        <v>78</v>
      </c>
      <c r="B457" s="4" t="s">
        <v>7</v>
      </c>
      <c r="C457" s="4" t="s">
        <v>15</v>
      </c>
      <c r="D457" s="6" t="s">
        <v>9</v>
      </c>
      <c r="E457" s="4" t="s">
        <v>16</v>
      </c>
      <c r="F457" s="4">
        <v>297</v>
      </c>
      <c r="G457" s="5">
        <v>2683.6919999999996</v>
      </c>
      <c r="H457" s="20" t="s">
        <v>31</v>
      </c>
    </row>
    <row r="458" spans="1:8">
      <c r="A458" s="4">
        <v>80</v>
      </c>
      <c r="B458" s="4" t="s">
        <v>7</v>
      </c>
      <c r="C458" s="4" t="s">
        <v>15</v>
      </c>
      <c r="D458" s="4" t="s">
        <v>12</v>
      </c>
      <c r="E458" s="4" t="s">
        <v>16</v>
      </c>
      <c r="F458" s="4">
        <v>310</v>
      </c>
      <c r="G458" s="5">
        <v>933.7199999999998</v>
      </c>
      <c r="H458" s="20" t="s">
        <v>31</v>
      </c>
    </row>
    <row r="461" spans="1:8" ht="32">
      <c r="A461" s="1" t="s">
        <v>0</v>
      </c>
      <c r="B461" s="8" t="s">
        <v>1</v>
      </c>
      <c r="C461" s="7" t="s">
        <v>2</v>
      </c>
      <c r="D461" s="7" t="s">
        <v>3</v>
      </c>
      <c r="E461" s="9" t="s">
        <v>4</v>
      </c>
      <c r="F461" s="2" t="s">
        <v>5</v>
      </c>
      <c r="G461" s="2" t="s">
        <v>6</v>
      </c>
    </row>
    <row r="462" spans="1:8">
      <c r="A462" s="4">
        <v>5</v>
      </c>
      <c r="B462" s="4" t="s">
        <v>7</v>
      </c>
      <c r="C462" s="4" t="s">
        <v>15</v>
      </c>
      <c r="D462" s="6" t="s">
        <v>9</v>
      </c>
      <c r="E462" s="4" t="s">
        <v>16</v>
      </c>
      <c r="F462" s="6">
        <v>46</v>
      </c>
      <c r="G462" s="6">
        <v>1009</v>
      </c>
    </row>
    <row r="463" spans="1:8">
      <c r="A463" s="4">
        <v>7</v>
      </c>
      <c r="B463" s="4" t="s">
        <v>7</v>
      </c>
      <c r="C463" s="4" t="s">
        <v>15</v>
      </c>
      <c r="D463" s="4" t="s">
        <v>12</v>
      </c>
      <c r="E463" s="4" t="s">
        <v>16</v>
      </c>
      <c r="F463" s="4">
        <v>52</v>
      </c>
      <c r="G463" s="5">
        <v>274.09199999999998</v>
      </c>
    </row>
    <row r="464" spans="1:8">
      <c r="A464" s="4">
        <v>8</v>
      </c>
      <c r="B464" s="4" t="s">
        <v>7</v>
      </c>
      <c r="C464" s="4" t="s">
        <v>15</v>
      </c>
      <c r="D464" s="4" t="s">
        <v>12</v>
      </c>
      <c r="E464" s="4" t="s">
        <v>16</v>
      </c>
      <c r="F464" s="4">
        <v>61</v>
      </c>
      <c r="G464" s="5">
        <v>336.84199999999998</v>
      </c>
    </row>
    <row r="465" spans="1:7">
      <c r="A465" s="4">
        <v>10</v>
      </c>
      <c r="B465" s="4" t="s">
        <v>7</v>
      </c>
      <c r="C465" s="4" t="s">
        <v>15</v>
      </c>
      <c r="D465" s="4" t="s">
        <v>12</v>
      </c>
      <c r="E465" s="4" t="s">
        <v>16</v>
      </c>
      <c r="F465" s="4">
        <v>68</v>
      </c>
      <c r="G465" s="5">
        <v>512.04</v>
      </c>
    </row>
    <row r="466" spans="1:7">
      <c r="A466" s="4">
        <v>12</v>
      </c>
      <c r="B466" s="4" t="s">
        <v>7</v>
      </c>
      <c r="C466" s="4" t="s">
        <v>15</v>
      </c>
      <c r="D466" s="4" t="s">
        <v>12</v>
      </c>
      <c r="E466" s="4" t="s">
        <v>16</v>
      </c>
      <c r="F466" s="4">
        <v>70</v>
      </c>
      <c r="G466" s="5">
        <v>379.512</v>
      </c>
    </row>
    <row r="467" spans="1:7">
      <c r="A467" s="4">
        <v>13</v>
      </c>
      <c r="B467" s="4" t="s">
        <v>7</v>
      </c>
      <c r="C467" s="4" t="s">
        <v>15</v>
      </c>
      <c r="D467" s="4" t="s">
        <v>12</v>
      </c>
      <c r="E467" s="4" t="s">
        <v>16</v>
      </c>
      <c r="F467" s="4">
        <v>72</v>
      </c>
      <c r="G467" s="5">
        <v>397.58399999999995</v>
      </c>
    </row>
    <row r="468" spans="1:7">
      <c r="A468" s="4">
        <v>14</v>
      </c>
      <c r="B468" s="4" t="s">
        <v>7</v>
      </c>
      <c r="C468" s="4" t="s">
        <v>15</v>
      </c>
      <c r="D468" s="4" t="s">
        <v>12</v>
      </c>
      <c r="E468" s="4" t="s">
        <v>16</v>
      </c>
      <c r="F468" s="4">
        <v>73</v>
      </c>
      <c r="G468" s="5">
        <v>659.62799999999993</v>
      </c>
    </row>
    <row r="469" spans="1:7">
      <c r="A469" s="4">
        <v>15</v>
      </c>
      <c r="B469" s="4" t="s">
        <v>7</v>
      </c>
      <c r="C469" s="4" t="s">
        <v>15</v>
      </c>
      <c r="D469" s="4" t="s">
        <v>12</v>
      </c>
      <c r="E469" s="4" t="s">
        <v>16</v>
      </c>
      <c r="F469" s="4">
        <v>74</v>
      </c>
      <c r="G469" s="5">
        <v>482.92399999999998</v>
      </c>
    </row>
    <row r="470" spans="1:7">
      <c r="A470" s="4">
        <v>17</v>
      </c>
      <c r="B470" s="4" t="s">
        <v>7</v>
      </c>
      <c r="C470" s="4" t="s">
        <v>17</v>
      </c>
      <c r="D470" s="6" t="s">
        <v>14</v>
      </c>
      <c r="E470" s="4" t="s">
        <v>16</v>
      </c>
      <c r="F470" s="6">
        <v>76</v>
      </c>
      <c r="G470" s="6">
        <v>1100</v>
      </c>
    </row>
    <row r="471" spans="1:7">
      <c r="A471" s="4">
        <v>19</v>
      </c>
      <c r="B471" s="4" t="s">
        <v>7</v>
      </c>
      <c r="C471" s="4" t="s">
        <v>15</v>
      </c>
      <c r="D471" s="4" t="s">
        <v>12</v>
      </c>
      <c r="E471" s="4" t="s">
        <v>16</v>
      </c>
      <c r="F471" s="4">
        <v>79</v>
      </c>
      <c r="G471" s="5">
        <v>475.89599999999996</v>
      </c>
    </row>
    <row r="472" spans="1:7">
      <c r="A472" s="4">
        <v>23</v>
      </c>
      <c r="B472" s="4" t="s">
        <v>7</v>
      </c>
      <c r="C472" s="4" t="s">
        <v>15</v>
      </c>
      <c r="D472" s="4" t="s">
        <v>12</v>
      </c>
      <c r="E472" s="4" t="s">
        <v>16</v>
      </c>
      <c r="F472" s="4">
        <v>81</v>
      </c>
      <c r="G472" s="5">
        <v>691.25399999999991</v>
      </c>
    </row>
    <row r="473" spans="1:7">
      <c r="A473" s="4">
        <v>24</v>
      </c>
      <c r="B473" s="4" t="s">
        <v>7</v>
      </c>
      <c r="C473" s="4" t="s">
        <v>15</v>
      </c>
      <c r="D473" s="4" t="s">
        <v>12</v>
      </c>
      <c r="E473" s="4" t="s">
        <v>16</v>
      </c>
      <c r="F473" s="4">
        <v>83</v>
      </c>
      <c r="G473" s="5">
        <v>466.6592</v>
      </c>
    </row>
    <row r="474" spans="1:7">
      <c r="A474" s="4">
        <v>25</v>
      </c>
      <c r="B474" s="4" t="s">
        <v>7</v>
      </c>
      <c r="C474" s="4" t="s">
        <v>15</v>
      </c>
      <c r="D474" s="6" t="s">
        <v>9</v>
      </c>
      <c r="E474" s="4" t="s">
        <v>16</v>
      </c>
      <c r="F474" s="6">
        <v>83</v>
      </c>
      <c r="G474" s="6">
        <v>855</v>
      </c>
    </row>
    <row r="475" spans="1:7">
      <c r="A475" s="4">
        <v>26</v>
      </c>
      <c r="B475" s="4" t="s">
        <v>7</v>
      </c>
      <c r="C475" s="4" t="s">
        <v>15</v>
      </c>
      <c r="D475" s="4" t="s">
        <v>12</v>
      </c>
      <c r="E475" s="4" t="s">
        <v>16</v>
      </c>
      <c r="F475" s="4">
        <v>84</v>
      </c>
      <c r="G475" s="5">
        <v>421.67999999999995</v>
      </c>
    </row>
    <row r="476" spans="1:7">
      <c r="A476" s="4">
        <v>27</v>
      </c>
      <c r="B476" s="4" t="s">
        <v>7</v>
      </c>
      <c r="C476" s="4" t="s">
        <v>15</v>
      </c>
      <c r="D476" s="4" t="s">
        <v>12</v>
      </c>
      <c r="E476" s="4" t="s">
        <v>16</v>
      </c>
      <c r="F476" s="4">
        <v>85</v>
      </c>
      <c r="G476" s="5">
        <v>725.39</v>
      </c>
    </row>
    <row r="477" spans="1:7">
      <c r="A477" s="4">
        <v>30</v>
      </c>
      <c r="B477" s="4" t="s">
        <v>7</v>
      </c>
      <c r="C477" s="4" t="s">
        <v>15</v>
      </c>
      <c r="D477" s="4" t="s">
        <v>12</v>
      </c>
      <c r="E477" s="4" t="s">
        <v>16</v>
      </c>
      <c r="F477" s="4">
        <v>90</v>
      </c>
      <c r="G477" s="5">
        <v>406.61999999999995</v>
      </c>
    </row>
    <row r="478" spans="1:7">
      <c r="A478" s="4">
        <v>32</v>
      </c>
      <c r="B478" s="4" t="s">
        <v>7</v>
      </c>
      <c r="C478" s="4" t="s">
        <v>15</v>
      </c>
      <c r="D478" s="4" t="s">
        <v>12</v>
      </c>
      <c r="E478" s="4" t="s">
        <v>16</v>
      </c>
      <c r="F478" s="4">
        <v>92</v>
      </c>
      <c r="G478" s="5">
        <v>831.31200000000001</v>
      </c>
    </row>
    <row r="479" spans="1:7">
      <c r="A479" s="4">
        <v>33</v>
      </c>
      <c r="B479" s="4" t="s">
        <v>7</v>
      </c>
      <c r="C479" s="4" t="s">
        <v>15</v>
      </c>
      <c r="D479" s="4" t="s">
        <v>12</v>
      </c>
      <c r="E479" s="4" t="s">
        <v>16</v>
      </c>
      <c r="F479" s="4">
        <v>100</v>
      </c>
      <c r="G479" s="5">
        <v>702.79999999999984</v>
      </c>
    </row>
    <row r="480" spans="1:7">
      <c r="A480" s="4">
        <v>35</v>
      </c>
      <c r="B480" s="4" t="s">
        <v>7</v>
      </c>
      <c r="C480" s="4" t="s">
        <v>15</v>
      </c>
      <c r="D480" s="4" t="s">
        <v>12</v>
      </c>
      <c r="E480" s="4" t="s">
        <v>16</v>
      </c>
      <c r="F480" s="4">
        <v>102</v>
      </c>
      <c r="G480" s="5">
        <v>921.67199999999991</v>
      </c>
    </row>
    <row r="481" spans="1:7">
      <c r="A481" s="4">
        <v>36</v>
      </c>
      <c r="B481" s="4" t="s">
        <v>7</v>
      </c>
      <c r="C481" s="4" t="s">
        <v>15</v>
      </c>
      <c r="D481" s="4" t="s">
        <v>12</v>
      </c>
      <c r="E481" s="4" t="s">
        <v>16</v>
      </c>
      <c r="F481" s="4">
        <v>105</v>
      </c>
      <c r="G481" s="5">
        <v>2196.2953367875648</v>
      </c>
    </row>
    <row r="482" spans="1:7">
      <c r="A482" s="4">
        <v>37</v>
      </c>
      <c r="B482" s="4" t="s">
        <v>7</v>
      </c>
      <c r="C482" s="4" t="s">
        <v>15</v>
      </c>
      <c r="D482" s="4" t="s">
        <v>12</v>
      </c>
      <c r="E482" s="4" t="s">
        <v>16</v>
      </c>
      <c r="F482" s="4">
        <v>108</v>
      </c>
      <c r="G482" s="5">
        <v>650.59199999999998</v>
      </c>
    </row>
    <row r="483" spans="1:7">
      <c r="A483" s="4">
        <v>38</v>
      </c>
      <c r="B483" s="4" t="s">
        <v>7</v>
      </c>
      <c r="C483" s="4" t="s">
        <v>17</v>
      </c>
      <c r="D483" s="6" t="s">
        <v>14</v>
      </c>
      <c r="E483" s="4" t="s">
        <v>16</v>
      </c>
      <c r="F483" s="6">
        <v>108</v>
      </c>
      <c r="G483" s="6">
        <v>1276</v>
      </c>
    </row>
    <row r="484" spans="1:7">
      <c r="A484" s="4">
        <v>39</v>
      </c>
      <c r="B484" s="4" t="s">
        <v>7</v>
      </c>
      <c r="C484" s="4" t="s">
        <v>17</v>
      </c>
      <c r="D484" s="4" t="s">
        <v>12</v>
      </c>
      <c r="E484" s="4" t="s">
        <v>16</v>
      </c>
      <c r="F484" s="6">
        <v>110</v>
      </c>
      <c r="G484" s="6">
        <v>884</v>
      </c>
    </row>
    <row r="485" spans="1:7">
      <c r="A485" s="4">
        <v>40</v>
      </c>
      <c r="B485" s="4" t="s">
        <v>7</v>
      </c>
      <c r="C485" s="4" t="s">
        <v>15</v>
      </c>
      <c r="D485" s="4" t="s">
        <v>12</v>
      </c>
      <c r="E485" s="4" t="s">
        <v>16</v>
      </c>
      <c r="F485" s="4">
        <v>114</v>
      </c>
      <c r="G485" s="5">
        <v>502</v>
      </c>
    </row>
    <row r="486" spans="1:7">
      <c r="A486" s="4">
        <v>42</v>
      </c>
      <c r="B486" s="4" t="s">
        <v>11</v>
      </c>
      <c r="C486" s="6" t="s">
        <v>8</v>
      </c>
      <c r="D486" s="6" t="s">
        <v>9</v>
      </c>
      <c r="E486" s="4" t="s">
        <v>16</v>
      </c>
      <c r="F486" s="6">
        <v>115</v>
      </c>
      <c r="G486" s="6">
        <v>285</v>
      </c>
    </row>
    <row r="487" spans="1:7">
      <c r="A487" s="4">
        <v>43</v>
      </c>
      <c r="B487" s="4" t="s">
        <v>7</v>
      </c>
      <c r="C487" s="4" t="s">
        <v>15</v>
      </c>
      <c r="D487" s="4" t="s">
        <v>12</v>
      </c>
      <c r="E487" s="4" t="s">
        <v>16</v>
      </c>
      <c r="F487" s="4">
        <v>115</v>
      </c>
      <c r="G487" s="5">
        <v>692.75999999999988</v>
      </c>
    </row>
    <row r="488" spans="1:7">
      <c r="A488" s="4">
        <v>45</v>
      </c>
      <c r="B488" s="4" t="s">
        <v>7</v>
      </c>
      <c r="C488" s="4" t="s">
        <v>15</v>
      </c>
      <c r="D488" s="4" t="s">
        <v>12</v>
      </c>
      <c r="E488" s="4" t="s">
        <v>16</v>
      </c>
      <c r="F488" s="4">
        <v>117</v>
      </c>
      <c r="G488" s="5">
        <v>728.30159999999989</v>
      </c>
    </row>
    <row r="489" spans="1:7">
      <c r="A489" s="4">
        <v>46</v>
      </c>
      <c r="B489" s="4" t="s">
        <v>7</v>
      </c>
      <c r="C489" s="4" t="s">
        <v>15</v>
      </c>
      <c r="D489" s="4" t="s">
        <v>12</v>
      </c>
      <c r="E489" s="4" t="s">
        <v>16</v>
      </c>
      <c r="F489" s="4">
        <v>117</v>
      </c>
      <c r="G489" s="5">
        <v>998.47799999999984</v>
      </c>
    </row>
    <row r="490" spans="1:7">
      <c r="A490" s="4">
        <v>47</v>
      </c>
      <c r="B490" s="4" t="s">
        <v>7</v>
      </c>
      <c r="C490" s="4" t="s">
        <v>15</v>
      </c>
      <c r="D490" s="4" t="s">
        <v>12</v>
      </c>
      <c r="E490" s="4" t="s">
        <v>16</v>
      </c>
      <c r="F490" s="4">
        <v>118</v>
      </c>
      <c r="G490" s="5">
        <v>1795.0673575129535</v>
      </c>
    </row>
    <row r="491" spans="1:7">
      <c r="A491" s="4">
        <v>48</v>
      </c>
      <c r="B491" s="4" t="s">
        <v>7</v>
      </c>
      <c r="C491" s="4" t="s">
        <v>17</v>
      </c>
      <c r="D491" s="4" t="s">
        <v>12</v>
      </c>
      <c r="E491" s="4" t="s">
        <v>16</v>
      </c>
      <c r="F491" s="6">
        <v>122</v>
      </c>
      <c r="G491" s="6">
        <v>1045</v>
      </c>
    </row>
    <row r="492" spans="1:7">
      <c r="A492" s="4">
        <v>49</v>
      </c>
      <c r="B492" s="4" t="s">
        <v>7</v>
      </c>
      <c r="C492" s="4" t="s">
        <v>15</v>
      </c>
      <c r="D492" s="4" t="s">
        <v>12</v>
      </c>
      <c r="E492" s="4" t="s">
        <v>16</v>
      </c>
      <c r="F492" s="4">
        <v>125</v>
      </c>
      <c r="G492" s="5">
        <v>1004</v>
      </c>
    </row>
    <row r="493" spans="1:7">
      <c r="A493" s="4">
        <v>51</v>
      </c>
      <c r="B493" s="4" t="s">
        <v>7</v>
      </c>
      <c r="C493" s="4" t="s">
        <v>15</v>
      </c>
      <c r="D493" s="4" t="s">
        <v>12</v>
      </c>
      <c r="E493" s="4" t="s">
        <v>16</v>
      </c>
      <c r="F493" s="4">
        <v>127</v>
      </c>
      <c r="G493" s="5">
        <v>1020.064</v>
      </c>
    </row>
    <row r="494" spans="1:7">
      <c r="A494" s="4">
        <v>52</v>
      </c>
      <c r="B494" s="4" t="s">
        <v>7</v>
      </c>
      <c r="C494" s="4" t="s">
        <v>15</v>
      </c>
      <c r="D494" s="4" t="s">
        <v>12</v>
      </c>
      <c r="E494" s="4" t="s">
        <v>16</v>
      </c>
      <c r="F494" s="6">
        <v>135</v>
      </c>
      <c r="G494" s="6">
        <v>1053</v>
      </c>
    </row>
    <row r="495" spans="1:7">
      <c r="A495" s="4">
        <v>54</v>
      </c>
      <c r="B495" s="4" t="s">
        <v>7</v>
      </c>
      <c r="C495" s="4" t="s">
        <v>15</v>
      </c>
      <c r="D495" s="4" t="s">
        <v>12</v>
      </c>
      <c r="E495" s="4" t="s">
        <v>16</v>
      </c>
      <c r="F495" s="4">
        <v>136</v>
      </c>
      <c r="G495" s="5">
        <v>1024.08</v>
      </c>
    </row>
    <row r="496" spans="1:7">
      <c r="A496" s="4">
        <v>55</v>
      </c>
      <c r="B496" s="4" t="s">
        <v>7</v>
      </c>
      <c r="C496" s="4" t="s">
        <v>15</v>
      </c>
      <c r="D496" s="4" t="s">
        <v>12</v>
      </c>
      <c r="E496" s="4" t="s">
        <v>16</v>
      </c>
      <c r="F496" s="4">
        <v>143</v>
      </c>
      <c r="G496" s="5">
        <v>861.4319999999999</v>
      </c>
    </row>
    <row r="497" spans="1:7">
      <c r="A497" s="4">
        <v>58</v>
      </c>
      <c r="B497" s="4" t="s">
        <v>7</v>
      </c>
      <c r="C497" s="4" t="s">
        <v>15</v>
      </c>
      <c r="D497" s="6" t="s">
        <v>9</v>
      </c>
      <c r="E497" s="4" t="s">
        <v>16</v>
      </c>
      <c r="F497" s="6">
        <v>152</v>
      </c>
      <c r="G497" s="6">
        <v>2389</v>
      </c>
    </row>
    <row r="498" spans="1:7">
      <c r="A498" s="4">
        <v>59</v>
      </c>
      <c r="B498" s="4" t="s">
        <v>7</v>
      </c>
      <c r="C498" s="4" t="s">
        <v>15</v>
      </c>
      <c r="D498" s="4" t="s">
        <v>12</v>
      </c>
      <c r="E498" s="4" t="s">
        <v>16</v>
      </c>
      <c r="F498" s="4">
        <v>153</v>
      </c>
      <c r="G498" s="5">
        <v>1228.896</v>
      </c>
    </row>
    <row r="499" spans="1:7">
      <c r="A499" s="4">
        <v>60</v>
      </c>
      <c r="B499" s="4" t="s">
        <v>7</v>
      </c>
      <c r="C499" s="4" t="s">
        <v>15</v>
      </c>
      <c r="D499" s="4" t="s">
        <v>12</v>
      </c>
      <c r="E499" s="4" t="s">
        <v>16</v>
      </c>
      <c r="F499" s="6">
        <v>156</v>
      </c>
      <c r="G499" s="6">
        <v>1025</v>
      </c>
    </row>
    <row r="500" spans="1:7">
      <c r="A500" s="4">
        <v>63</v>
      </c>
      <c r="B500" s="4" t="s">
        <v>7</v>
      </c>
      <c r="C500" s="4" t="s">
        <v>15</v>
      </c>
      <c r="D500" s="4" t="s">
        <v>12</v>
      </c>
      <c r="E500" s="4" t="s">
        <v>16</v>
      </c>
      <c r="F500" s="4">
        <v>162</v>
      </c>
      <c r="G500" s="5">
        <v>1305</v>
      </c>
    </row>
    <row r="501" spans="1:7">
      <c r="A501" s="4">
        <v>64</v>
      </c>
      <c r="B501" s="4" t="s">
        <v>7</v>
      </c>
      <c r="C501" s="4" t="s">
        <v>15</v>
      </c>
      <c r="D501" s="4" t="s">
        <v>12</v>
      </c>
      <c r="E501" s="4" t="s">
        <v>16</v>
      </c>
      <c r="F501" s="4">
        <v>162</v>
      </c>
      <c r="G501" s="5">
        <v>1903.7602072538862</v>
      </c>
    </row>
    <row r="502" spans="1:7">
      <c r="A502" s="4">
        <v>66</v>
      </c>
      <c r="B502" s="4" t="s">
        <v>7</v>
      </c>
      <c r="C502" s="4" t="s">
        <v>15</v>
      </c>
      <c r="D502" s="6" t="s">
        <v>9</v>
      </c>
      <c r="E502" s="4" t="s">
        <v>16</v>
      </c>
      <c r="F502" s="6">
        <v>174</v>
      </c>
      <c r="G502" s="6">
        <v>1876</v>
      </c>
    </row>
    <row r="503" spans="1:7">
      <c r="A503" s="4">
        <v>67</v>
      </c>
      <c r="B503" s="4" t="s">
        <v>11</v>
      </c>
      <c r="C503" s="6" t="s">
        <v>8</v>
      </c>
      <c r="D503" s="6" t="s">
        <v>9</v>
      </c>
      <c r="E503" s="4" t="s">
        <v>16</v>
      </c>
      <c r="F503" s="6">
        <v>178</v>
      </c>
      <c r="G503" s="6">
        <v>290</v>
      </c>
    </row>
    <row r="504" spans="1:7">
      <c r="A504" s="4">
        <v>68</v>
      </c>
      <c r="B504" s="4" t="s">
        <v>7</v>
      </c>
      <c r="C504" s="4" t="s">
        <v>15</v>
      </c>
      <c r="D504" s="6" t="s">
        <v>9</v>
      </c>
      <c r="E504" s="4" t="s">
        <v>16</v>
      </c>
      <c r="F504" s="6">
        <v>179</v>
      </c>
      <c r="G504" s="6">
        <v>789</v>
      </c>
    </row>
    <row r="505" spans="1:7">
      <c r="A505" s="4">
        <v>70</v>
      </c>
      <c r="B505" s="4" t="s">
        <v>7</v>
      </c>
      <c r="C505" s="4" t="s">
        <v>15</v>
      </c>
      <c r="D505" s="6" t="s">
        <v>9</v>
      </c>
      <c r="E505" s="4" t="s">
        <v>16</v>
      </c>
      <c r="F505" s="6">
        <v>182</v>
      </c>
      <c r="G505" s="6">
        <v>2629.2</v>
      </c>
    </row>
    <row r="506" spans="1:7">
      <c r="A506" s="4">
        <v>71</v>
      </c>
      <c r="B506" s="4" t="s">
        <v>7</v>
      </c>
      <c r="C506" s="4" t="s">
        <v>15</v>
      </c>
      <c r="D506" s="6" t="s">
        <v>14</v>
      </c>
      <c r="E506" s="4" t="s">
        <v>16</v>
      </c>
      <c r="F506" s="6">
        <v>183</v>
      </c>
      <c r="G506" s="6">
        <v>460</v>
      </c>
    </row>
    <row r="507" spans="1:7">
      <c r="A507" s="4">
        <v>72</v>
      </c>
      <c r="B507" s="4" t="s">
        <v>7</v>
      </c>
      <c r="C507" s="4" t="s">
        <v>17</v>
      </c>
      <c r="D507" s="4" t="s">
        <v>12</v>
      </c>
      <c r="E507" s="4" t="s">
        <v>16</v>
      </c>
      <c r="F507" s="6">
        <v>189</v>
      </c>
      <c r="G507" s="6">
        <v>315</v>
      </c>
    </row>
    <row r="508" spans="1:7">
      <c r="A508" s="4">
        <v>73</v>
      </c>
      <c r="B508" s="4" t="s">
        <v>7</v>
      </c>
      <c r="C508" s="4" t="s">
        <v>15</v>
      </c>
      <c r="D508" s="4" t="s">
        <v>12</v>
      </c>
      <c r="E508" s="4" t="s">
        <v>16</v>
      </c>
      <c r="F508" s="4">
        <v>193</v>
      </c>
      <c r="G508" s="5">
        <v>734</v>
      </c>
    </row>
    <row r="509" spans="1:7">
      <c r="A509" s="4">
        <v>74</v>
      </c>
      <c r="B509" s="4" t="s">
        <v>7</v>
      </c>
      <c r="C509" s="4" t="s">
        <v>17</v>
      </c>
      <c r="D509" s="4" t="s">
        <v>12</v>
      </c>
      <c r="E509" s="4" t="s">
        <v>16</v>
      </c>
      <c r="F509" s="6">
        <v>195</v>
      </c>
      <c r="G509" s="6">
        <v>322</v>
      </c>
    </row>
    <row r="510" spans="1:7">
      <c r="A510" s="4">
        <v>75</v>
      </c>
      <c r="B510" s="4" t="s">
        <v>7</v>
      </c>
      <c r="C510" s="4" t="s">
        <v>15</v>
      </c>
      <c r="D510" s="4" t="s">
        <v>12</v>
      </c>
      <c r="E510" s="4" t="s">
        <v>16</v>
      </c>
      <c r="F510" s="4">
        <v>209</v>
      </c>
      <c r="G510" s="5">
        <v>1993.4419999999996</v>
      </c>
    </row>
    <row r="511" spans="1:7">
      <c r="A511" s="4">
        <v>76</v>
      </c>
      <c r="B511" s="4" t="s">
        <v>7</v>
      </c>
      <c r="C511" s="4" t="s">
        <v>15</v>
      </c>
      <c r="D511" s="6" t="s">
        <v>9</v>
      </c>
      <c r="E511" s="4" t="s">
        <v>16</v>
      </c>
      <c r="F511" s="4">
        <v>237</v>
      </c>
      <c r="G511" s="5">
        <v>3064.5450777202072</v>
      </c>
    </row>
    <row r="512" spans="1:7">
      <c r="A512" s="4">
        <v>77</v>
      </c>
      <c r="B512" s="4" t="s">
        <v>7</v>
      </c>
      <c r="C512" s="6" t="s">
        <v>8</v>
      </c>
      <c r="D512" s="6" t="s">
        <v>9</v>
      </c>
      <c r="E512" s="4" t="s">
        <v>16</v>
      </c>
      <c r="F512" s="6">
        <v>250</v>
      </c>
      <c r="G512" s="6">
        <v>400</v>
      </c>
    </row>
    <row r="514" spans="1:7">
      <c r="A514" t="s">
        <v>28</v>
      </c>
    </row>
    <row r="515" spans="1:7" ht="20">
      <c r="A515" s="13" t="s">
        <v>29</v>
      </c>
    </row>
    <row r="516" spans="1:7" ht="17">
      <c r="A516" s="14" t="s">
        <v>30</v>
      </c>
      <c r="B516" s="14" t="s">
        <v>6</v>
      </c>
      <c r="C516" s="14"/>
      <c r="D516" s="14"/>
      <c r="E516" s="14"/>
      <c r="F516" s="14"/>
      <c r="G516" s="14"/>
    </row>
    <row r="517" spans="1:7" ht="17">
      <c r="A517" s="14">
        <v>20</v>
      </c>
      <c r="B517" s="14">
        <v>2196</v>
      </c>
      <c r="C517" s="14"/>
      <c r="D517" s="14"/>
      <c r="E517" s="14"/>
      <c r="F517" s="14"/>
      <c r="G517" s="14"/>
    </row>
    <row r="518" spans="1:7" ht="17">
      <c r="A518" s="14">
        <v>36</v>
      </c>
      <c r="B518" s="14">
        <v>2389</v>
      </c>
      <c r="C518" s="14"/>
      <c r="D518" s="14"/>
      <c r="E518" s="14"/>
      <c r="F518" s="14"/>
      <c r="G518" s="14"/>
    </row>
    <row r="519" spans="1:7" ht="17">
      <c r="A519" s="14">
        <v>44</v>
      </c>
      <c r="B519" s="14">
        <v>2629.2</v>
      </c>
      <c r="C519" s="14"/>
      <c r="D519" s="14"/>
      <c r="E519" s="14"/>
      <c r="F519" s="14"/>
      <c r="G519" s="14"/>
    </row>
    <row r="520" spans="1:7" ht="17">
      <c r="A520" s="14">
        <v>50</v>
      </c>
      <c r="B520" s="14">
        <v>3065</v>
      </c>
      <c r="C520" s="14"/>
      <c r="D520" s="14"/>
      <c r="E520" s="14"/>
      <c r="F520" s="14"/>
      <c r="G520" s="14"/>
    </row>
    <row r="521" spans="1:7" ht="17">
      <c r="A521" s="14">
        <v>51</v>
      </c>
      <c r="B521" s="14">
        <v>400</v>
      </c>
      <c r="C521" s="14"/>
      <c r="D521" s="14"/>
      <c r="E521" s="14"/>
      <c r="F521" s="14"/>
      <c r="G521" s="14"/>
    </row>
    <row r="523" spans="1:7" ht="32">
      <c r="A523" s="1" t="s">
        <v>0</v>
      </c>
      <c r="B523" s="8" t="s">
        <v>1</v>
      </c>
      <c r="C523" s="7" t="s">
        <v>2</v>
      </c>
      <c r="D523" s="7" t="s">
        <v>3</v>
      </c>
      <c r="E523" s="9" t="s">
        <v>4</v>
      </c>
      <c r="F523" s="2" t="s">
        <v>5</v>
      </c>
      <c r="G523" s="2" t="s">
        <v>6</v>
      </c>
    </row>
    <row r="524" spans="1:7">
      <c r="A524" s="4">
        <v>5</v>
      </c>
      <c r="B524" s="4" t="s">
        <v>7</v>
      </c>
      <c r="C524" s="4" t="s">
        <v>15</v>
      </c>
      <c r="D524" s="6" t="s">
        <v>9</v>
      </c>
      <c r="E524" s="4" t="s">
        <v>16</v>
      </c>
      <c r="F524" s="6">
        <v>46</v>
      </c>
      <c r="G524" s="6">
        <v>1009</v>
      </c>
    </row>
    <row r="525" spans="1:7">
      <c r="A525" s="4">
        <v>7</v>
      </c>
      <c r="B525" s="4" t="s">
        <v>7</v>
      </c>
      <c r="C525" s="4" t="s">
        <v>15</v>
      </c>
      <c r="D525" s="4" t="s">
        <v>12</v>
      </c>
      <c r="E525" s="4" t="s">
        <v>16</v>
      </c>
      <c r="F525" s="4">
        <v>52</v>
      </c>
      <c r="G525" s="5">
        <v>274.09199999999998</v>
      </c>
    </row>
    <row r="526" spans="1:7">
      <c r="A526" s="4">
        <v>8</v>
      </c>
      <c r="B526" s="4" t="s">
        <v>7</v>
      </c>
      <c r="C526" s="4" t="s">
        <v>15</v>
      </c>
      <c r="D526" s="4" t="s">
        <v>12</v>
      </c>
      <c r="E526" s="4" t="s">
        <v>16</v>
      </c>
      <c r="F526" s="4">
        <v>61</v>
      </c>
      <c r="G526" s="5">
        <v>336.84199999999998</v>
      </c>
    </row>
    <row r="527" spans="1:7">
      <c r="A527" s="4">
        <v>10</v>
      </c>
      <c r="B527" s="4" t="s">
        <v>7</v>
      </c>
      <c r="C527" s="4" t="s">
        <v>15</v>
      </c>
      <c r="D527" s="4" t="s">
        <v>12</v>
      </c>
      <c r="E527" s="4" t="s">
        <v>16</v>
      </c>
      <c r="F527" s="4">
        <v>68</v>
      </c>
      <c r="G527" s="5">
        <v>512.04</v>
      </c>
    </row>
    <row r="528" spans="1:7">
      <c r="A528" s="4">
        <v>12</v>
      </c>
      <c r="B528" s="4" t="s">
        <v>7</v>
      </c>
      <c r="C528" s="4" t="s">
        <v>15</v>
      </c>
      <c r="D528" s="4" t="s">
        <v>12</v>
      </c>
      <c r="E528" s="4" t="s">
        <v>16</v>
      </c>
      <c r="F528" s="4">
        <v>70</v>
      </c>
      <c r="G528" s="5">
        <v>379.512</v>
      </c>
    </row>
    <row r="529" spans="1:8">
      <c r="A529" s="4">
        <v>13</v>
      </c>
      <c r="B529" s="4" t="s">
        <v>7</v>
      </c>
      <c r="C529" s="4" t="s">
        <v>15</v>
      </c>
      <c r="D529" s="4" t="s">
        <v>12</v>
      </c>
      <c r="E529" s="4" t="s">
        <v>16</v>
      </c>
      <c r="F529" s="4">
        <v>72</v>
      </c>
      <c r="G529" s="5">
        <v>397.58399999999995</v>
      </c>
    </row>
    <row r="530" spans="1:8">
      <c r="A530" s="4">
        <v>14</v>
      </c>
      <c r="B530" s="4" t="s">
        <v>7</v>
      </c>
      <c r="C530" s="4" t="s">
        <v>15</v>
      </c>
      <c r="D530" s="4" t="s">
        <v>12</v>
      </c>
      <c r="E530" s="4" t="s">
        <v>16</v>
      </c>
      <c r="F530" s="4">
        <v>73</v>
      </c>
      <c r="G530" s="5">
        <v>659.62799999999993</v>
      </c>
    </row>
    <row r="531" spans="1:8">
      <c r="A531" s="4">
        <v>15</v>
      </c>
      <c r="B531" s="4" t="s">
        <v>7</v>
      </c>
      <c r="C531" s="4" t="s">
        <v>15</v>
      </c>
      <c r="D531" s="4" t="s">
        <v>12</v>
      </c>
      <c r="E531" s="4" t="s">
        <v>16</v>
      </c>
      <c r="F531" s="4">
        <v>74</v>
      </c>
      <c r="G531" s="5">
        <v>482.92399999999998</v>
      </c>
    </row>
    <row r="532" spans="1:8">
      <c r="A532" s="4">
        <v>17</v>
      </c>
      <c r="B532" s="4" t="s">
        <v>7</v>
      </c>
      <c r="C532" s="4" t="s">
        <v>17</v>
      </c>
      <c r="D532" s="6" t="s">
        <v>14</v>
      </c>
      <c r="E532" s="4" t="s">
        <v>16</v>
      </c>
      <c r="F532" s="6">
        <v>76</v>
      </c>
      <c r="G532" s="6">
        <v>1100</v>
      </c>
    </row>
    <row r="533" spans="1:8">
      <c r="A533" s="4">
        <v>19</v>
      </c>
      <c r="B533" s="4" t="s">
        <v>7</v>
      </c>
      <c r="C533" s="4" t="s">
        <v>15</v>
      </c>
      <c r="D533" s="4" t="s">
        <v>12</v>
      </c>
      <c r="E533" s="4" t="s">
        <v>16</v>
      </c>
      <c r="F533" s="4">
        <v>79</v>
      </c>
      <c r="G533" s="5">
        <v>475.89599999999996</v>
      </c>
    </row>
    <row r="534" spans="1:8">
      <c r="A534" s="4">
        <v>23</v>
      </c>
      <c r="B534" s="4" t="s">
        <v>7</v>
      </c>
      <c r="C534" s="4" t="s">
        <v>15</v>
      </c>
      <c r="D534" s="4" t="s">
        <v>12</v>
      </c>
      <c r="E534" s="4" t="s">
        <v>16</v>
      </c>
      <c r="F534" s="4">
        <v>81</v>
      </c>
      <c r="G534" s="5">
        <v>691.25399999999991</v>
      </c>
    </row>
    <row r="535" spans="1:8">
      <c r="A535" s="4">
        <v>24</v>
      </c>
      <c r="B535" s="4" t="s">
        <v>7</v>
      </c>
      <c r="C535" s="4" t="s">
        <v>15</v>
      </c>
      <c r="D535" s="4" t="s">
        <v>12</v>
      </c>
      <c r="E535" s="4" t="s">
        <v>16</v>
      </c>
      <c r="F535" s="4">
        <v>83</v>
      </c>
      <c r="G535" s="5">
        <v>466.6592</v>
      </c>
    </row>
    <row r="536" spans="1:8">
      <c r="A536" s="4">
        <v>25</v>
      </c>
      <c r="B536" s="4" t="s">
        <v>7</v>
      </c>
      <c r="C536" s="4" t="s">
        <v>15</v>
      </c>
      <c r="D536" s="6" t="s">
        <v>9</v>
      </c>
      <c r="E536" s="4" t="s">
        <v>16</v>
      </c>
      <c r="F536" s="6">
        <v>83</v>
      </c>
      <c r="G536" s="6">
        <v>855</v>
      </c>
    </row>
    <row r="537" spans="1:8">
      <c r="A537" s="4">
        <v>26</v>
      </c>
      <c r="B537" s="4" t="s">
        <v>7</v>
      </c>
      <c r="C537" s="4" t="s">
        <v>15</v>
      </c>
      <c r="D537" s="4" t="s">
        <v>12</v>
      </c>
      <c r="E537" s="4" t="s">
        <v>16</v>
      </c>
      <c r="F537" s="4">
        <v>84</v>
      </c>
      <c r="G537" s="5">
        <v>421.67999999999995</v>
      </c>
    </row>
    <row r="538" spans="1:8">
      <c r="A538" s="4">
        <v>27</v>
      </c>
      <c r="B538" s="4" t="s">
        <v>7</v>
      </c>
      <c r="C538" s="4" t="s">
        <v>15</v>
      </c>
      <c r="D538" s="4" t="s">
        <v>12</v>
      </c>
      <c r="E538" s="4" t="s">
        <v>16</v>
      </c>
      <c r="F538" s="4">
        <v>85</v>
      </c>
      <c r="G538" s="5">
        <v>725.39</v>
      </c>
    </row>
    <row r="539" spans="1:8">
      <c r="A539" s="4">
        <v>30</v>
      </c>
      <c r="B539" s="4" t="s">
        <v>7</v>
      </c>
      <c r="C539" s="4" t="s">
        <v>15</v>
      </c>
      <c r="D539" s="4" t="s">
        <v>12</v>
      </c>
      <c r="E539" s="4" t="s">
        <v>16</v>
      </c>
      <c r="F539" s="4">
        <v>90</v>
      </c>
      <c r="G539" s="5">
        <v>406.61999999999995</v>
      </c>
    </row>
    <row r="540" spans="1:8">
      <c r="A540" s="4">
        <v>32</v>
      </c>
      <c r="B540" s="4" t="s">
        <v>7</v>
      </c>
      <c r="C540" s="4" t="s">
        <v>15</v>
      </c>
      <c r="D540" s="4" t="s">
        <v>12</v>
      </c>
      <c r="E540" s="4" t="s">
        <v>16</v>
      </c>
      <c r="F540" s="4">
        <v>92</v>
      </c>
      <c r="G540" s="5">
        <v>831.31200000000001</v>
      </c>
    </row>
    <row r="541" spans="1:8">
      <c r="A541" s="4">
        <v>33</v>
      </c>
      <c r="B541" s="4" t="s">
        <v>7</v>
      </c>
      <c r="C541" s="4" t="s">
        <v>15</v>
      </c>
      <c r="D541" s="4" t="s">
        <v>12</v>
      </c>
      <c r="E541" s="4" t="s">
        <v>16</v>
      </c>
      <c r="F541" s="4">
        <v>100</v>
      </c>
      <c r="G541" s="5">
        <v>702.79999999999984</v>
      </c>
    </row>
    <row r="542" spans="1:8">
      <c r="A542" s="4">
        <v>35</v>
      </c>
      <c r="B542" s="4" t="s">
        <v>7</v>
      </c>
      <c r="C542" s="4" t="s">
        <v>15</v>
      </c>
      <c r="D542" s="4" t="s">
        <v>12</v>
      </c>
      <c r="E542" s="4" t="s">
        <v>16</v>
      </c>
      <c r="F542" s="4">
        <v>102</v>
      </c>
      <c r="G542" s="5">
        <v>921.67199999999991</v>
      </c>
    </row>
    <row r="543" spans="1:8">
      <c r="A543" s="4">
        <v>36</v>
      </c>
      <c r="B543" s="4" t="s">
        <v>7</v>
      </c>
      <c r="C543" s="4" t="s">
        <v>15</v>
      </c>
      <c r="D543" s="4" t="s">
        <v>12</v>
      </c>
      <c r="E543" s="4" t="s">
        <v>16</v>
      </c>
      <c r="F543" s="4">
        <v>105</v>
      </c>
      <c r="G543" s="5">
        <v>2196.2953367875648</v>
      </c>
      <c r="H543" s="21" t="s">
        <v>31</v>
      </c>
    </row>
    <row r="544" spans="1:8">
      <c r="A544" s="4">
        <v>37</v>
      </c>
      <c r="B544" s="4" t="s">
        <v>7</v>
      </c>
      <c r="C544" s="4" t="s">
        <v>15</v>
      </c>
      <c r="D544" s="4" t="s">
        <v>12</v>
      </c>
      <c r="E544" s="4" t="s">
        <v>16</v>
      </c>
      <c r="F544" s="4">
        <v>108</v>
      </c>
      <c r="G544" s="5">
        <v>650.59199999999998</v>
      </c>
    </row>
    <row r="545" spans="1:8">
      <c r="A545" s="4">
        <v>38</v>
      </c>
      <c r="B545" s="4" t="s">
        <v>7</v>
      </c>
      <c r="C545" s="4" t="s">
        <v>17</v>
      </c>
      <c r="D545" s="6" t="s">
        <v>14</v>
      </c>
      <c r="E545" s="4" t="s">
        <v>16</v>
      </c>
      <c r="F545" s="6">
        <v>108</v>
      </c>
      <c r="G545" s="6">
        <v>1276</v>
      </c>
    </row>
    <row r="546" spans="1:8">
      <c r="A546" s="4">
        <v>39</v>
      </c>
      <c r="B546" s="4" t="s">
        <v>7</v>
      </c>
      <c r="C546" s="4" t="s">
        <v>17</v>
      </c>
      <c r="D546" s="4" t="s">
        <v>12</v>
      </c>
      <c r="E546" s="4" t="s">
        <v>16</v>
      </c>
      <c r="F546" s="6">
        <v>110</v>
      </c>
      <c r="G546" s="6">
        <v>884</v>
      </c>
    </row>
    <row r="547" spans="1:8">
      <c r="A547" s="4">
        <v>40</v>
      </c>
      <c r="B547" s="4" t="s">
        <v>7</v>
      </c>
      <c r="C547" s="4" t="s">
        <v>15</v>
      </c>
      <c r="D547" s="4" t="s">
        <v>12</v>
      </c>
      <c r="E547" s="4" t="s">
        <v>16</v>
      </c>
      <c r="F547" s="4">
        <v>114</v>
      </c>
      <c r="G547" s="5">
        <v>502</v>
      </c>
    </row>
    <row r="548" spans="1:8">
      <c r="A548" s="4">
        <v>42</v>
      </c>
      <c r="B548" s="4" t="s">
        <v>11</v>
      </c>
      <c r="C548" s="6" t="s">
        <v>8</v>
      </c>
      <c r="D548" s="6" t="s">
        <v>9</v>
      </c>
      <c r="E548" s="4" t="s">
        <v>16</v>
      </c>
      <c r="F548" s="6">
        <v>115</v>
      </c>
      <c r="G548" s="6">
        <v>285</v>
      </c>
    </row>
    <row r="549" spans="1:8">
      <c r="A549" s="4">
        <v>43</v>
      </c>
      <c r="B549" s="4" t="s">
        <v>7</v>
      </c>
      <c r="C549" s="4" t="s">
        <v>15</v>
      </c>
      <c r="D549" s="4" t="s">
        <v>12</v>
      </c>
      <c r="E549" s="4" t="s">
        <v>16</v>
      </c>
      <c r="F549" s="4">
        <v>115</v>
      </c>
      <c r="G549" s="5">
        <v>692.75999999999988</v>
      </c>
    </row>
    <row r="550" spans="1:8">
      <c r="A550" s="4">
        <v>45</v>
      </c>
      <c r="B550" s="4" t="s">
        <v>7</v>
      </c>
      <c r="C550" s="4" t="s">
        <v>15</v>
      </c>
      <c r="D550" s="4" t="s">
        <v>12</v>
      </c>
      <c r="E550" s="4" t="s">
        <v>16</v>
      </c>
      <c r="F550" s="4">
        <v>117</v>
      </c>
      <c r="G550" s="5">
        <v>728.30159999999989</v>
      </c>
    </row>
    <row r="551" spans="1:8">
      <c r="A551" s="4">
        <v>46</v>
      </c>
      <c r="B551" s="4" t="s">
        <v>7</v>
      </c>
      <c r="C551" s="4" t="s">
        <v>15</v>
      </c>
      <c r="D551" s="4" t="s">
        <v>12</v>
      </c>
      <c r="E551" s="4" t="s">
        <v>16</v>
      </c>
      <c r="F551" s="4">
        <v>117</v>
      </c>
      <c r="G551" s="5">
        <v>998.47799999999984</v>
      </c>
    </row>
    <row r="552" spans="1:8">
      <c r="A552" s="4">
        <v>47</v>
      </c>
      <c r="B552" s="4" t="s">
        <v>7</v>
      </c>
      <c r="C552" s="4" t="s">
        <v>15</v>
      </c>
      <c r="D552" s="4" t="s">
        <v>12</v>
      </c>
      <c r="E552" s="4" t="s">
        <v>16</v>
      </c>
      <c r="F552" s="4">
        <v>118</v>
      </c>
      <c r="G552" s="5">
        <v>1795.0673575129535</v>
      </c>
    </row>
    <row r="553" spans="1:8">
      <c r="A553" s="4">
        <v>48</v>
      </c>
      <c r="B553" s="4" t="s">
        <v>7</v>
      </c>
      <c r="C553" s="4" t="s">
        <v>17</v>
      </c>
      <c r="D553" s="4" t="s">
        <v>12</v>
      </c>
      <c r="E553" s="4" t="s">
        <v>16</v>
      </c>
      <c r="F553" s="6">
        <v>122</v>
      </c>
      <c r="G553" s="6">
        <v>1045</v>
      </c>
    </row>
    <row r="554" spans="1:8">
      <c r="A554" s="4">
        <v>49</v>
      </c>
      <c r="B554" s="4" t="s">
        <v>7</v>
      </c>
      <c r="C554" s="4" t="s">
        <v>15</v>
      </c>
      <c r="D554" s="4" t="s">
        <v>12</v>
      </c>
      <c r="E554" s="4" t="s">
        <v>16</v>
      </c>
      <c r="F554" s="4">
        <v>125</v>
      </c>
      <c r="G554" s="5">
        <v>1004</v>
      </c>
    </row>
    <row r="555" spans="1:8">
      <c r="A555" s="4">
        <v>51</v>
      </c>
      <c r="B555" s="4" t="s">
        <v>7</v>
      </c>
      <c r="C555" s="4" t="s">
        <v>15</v>
      </c>
      <c r="D555" s="4" t="s">
        <v>12</v>
      </c>
      <c r="E555" s="4" t="s">
        <v>16</v>
      </c>
      <c r="F555" s="4">
        <v>127</v>
      </c>
      <c r="G555" s="5">
        <v>1020.064</v>
      </c>
    </row>
    <row r="556" spans="1:8">
      <c r="A556" s="4">
        <v>52</v>
      </c>
      <c r="B556" s="4" t="s">
        <v>7</v>
      </c>
      <c r="C556" s="4" t="s">
        <v>15</v>
      </c>
      <c r="D556" s="4" t="s">
        <v>12</v>
      </c>
      <c r="E556" s="4" t="s">
        <v>16</v>
      </c>
      <c r="F556" s="6">
        <v>135</v>
      </c>
      <c r="G556" s="6">
        <v>1053</v>
      </c>
    </row>
    <row r="557" spans="1:8">
      <c r="A557" s="4">
        <v>54</v>
      </c>
      <c r="B557" s="4" t="s">
        <v>7</v>
      </c>
      <c r="C557" s="4" t="s">
        <v>15</v>
      </c>
      <c r="D557" s="4" t="s">
        <v>12</v>
      </c>
      <c r="E557" s="4" t="s">
        <v>16</v>
      </c>
      <c r="F557" s="4">
        <v>136</v>
      </c>
      <c r="G557" s="5">
        <v>1024.08</v>
      </c>
    </row>
    <row r="558" spans="1:8">
      <c r="A558" s="4">
        <v>55</v>
      </c>
      <c r="B558" s="4" t="s">
        <v>7</v>
      </c>
      <c r="C558" s="4" t="s">
        <v>15</v>
      </c>
      <c r="D558" s="4" t="s">
        <v>12</v>
      </c>
      <c r="E558" s="4" t="s">
        <v>16</v>
      </c>
      <c r="F558" s="4">
        <v>143</v>
      </c>
      <c r="G558" s="5">
        <v>861.4319999999999</v>
      </c>
    </row>
    <row r="559" spans="1:8">
      <c r="A559" s="4">
        <v>58</v>
      </c>
      <c r="B559" s="4" t="s">
        <v>7</v>
      </c>
      <c r="C559" s="4" t="s">
        <v>15</v>
      </c>
      <c r="D559" s="6" t="s">
        <v>9</v>
      </c>
      <c r="E559" s="4" t="s">
        <v>16</v>
      </c>
      <c r="F559" s="6">
        <v>152</v>
      </c>
      <c r="G559" s="6">
        <v>2389</v>
      </c>
      <c r="H559" s="21" t="s">
        <v>31</v>
      </c>
    </row>
    <row r="560" spans="1:8">
      <c r="A560" s="4">
        <v>59</v>
      </c>
      <c r="B560" s="4" t="s">
        <v>7</v>
      </c>
      <c r="C560" s="4" t="s">
        <v>15</v>
      </c>
      <c r="D560" s="4" t="s">
        <v>12</v>
      </c>
      <c r="E560" s="4" t="s">
        <v>16</v>
      </c>
      <c r="F560" s="4">
        <v>153</v>
      </c>
      <c r="G560" s="5">
        <v>1228.896</v>
      </c>
    </row>
    <row r="561" spans="1:8">
      <c r="A561" s="4">
        <v>60</v>
      </c>
      <c r="B561" s="4" t="s">
        <v>7</v>
      </c>
      <c r="C561" s="4" t="s">
        <v>15</v>
      </c>
      <c r="D561" s="4" t="s">
        <v>12</v>
      </c>
      <c r="E561" s="4" t="s">
        <v>16</v>
      </c>
      <c r="F561" s="6">
        <v>156</v>
      </c>
      <c r="G561" s="6">
        <v>1025</v>
      </c>
    </row>
    <row r="562" spans="1:8">
      <c r="A562" s="4">
        <v>63</v>
      </c>
      <c r="B562" s="4" t="s">
        <v>7</v>
      </c>
      <c r="C562" s="4" t="s">
        <v>15</v>
      </c>
      <c r="D562" s="4" t="s">
        <v>12</v>
      </c>
      <c r="E562" s="4" t="s">
        <v>16</v>
      </c>
      <c r="F562" s="4">
        <v>162</v>
      </c>
      <c r="G562" s="5">
        <v>1305</v>
      </c>
    </row>
    <row r="563" spans="1:8">
      <c r="A563" s="4">
        <v>64</v>
      </c>
      <c r="B563" s="4" t="s">
        <v>7</v>
      </c>
      <c r="C563" s="4" t="s">
        <v>15</v>
      </c>
      <c r="D563" s="4" t="s">
        <v>12</v>
      </c>
      <c r="E563" s="4" t="s">
        <v>16</v>
      </c>
      <c r="F563" s="4">
        <v>162</v>
      </c>
      <c r="G563" s="5">
        <v>1903.7602072538862</v>
      </c>
    </row>
    <row r="564" spans="1:8">
      <c r="A564" s="4">
        <v>66</v>
      </c>
      <c r="B564" s="4" t="s">
        <v>7</v>
      </c>
      <c r="C564" s="4" t="s">
        <v>15</v>
      </c>
      <c r="D564" s="6" t="s">
        <v>9</v>
      </c>
      <c r="E564" s="4" t="s">
        <v>16</v>
      </c>
      <c r="F564" s="6">
        <v>174</v>
      </c>
      <c r="G564" s="6">
        <v>1876</v>
      </c>
    </row>
    <row r="565" spans="1:8">
      <c r="A565" s="4">
        <v>67</v>
      </c>
      <c r="B565" s="4" t="s">
        <v>11</v>
      </c>
      <c r="C565" s="6" t="s">
        <v>8</v>
      </c>
      <c r="D565" s="6" t="s">
        <v>9</v>
      </c>
      <c r="E565" s="4" t="s">
        <v>16</v>
      </c>
      <c r="F565" s="6">
        <v>178</v>
      </c>
      <c r="G565" s="6">
        <v>290</v>
      </c>
    </row>
    <row r="566" spans="1:8">
      <c r="A566" s="4">
        <v>68</v>
      </c>
      <c r="B566" s="4" t="s">
        <v>7</v>
      </c>
      <c r="C566" s="4" t="s">
        <v>15</v>
      </c>
      <c r="D566" s="6" t="s">
        <v>9</v>
      </c>
      <c r="E566" s="4" t="s">
        <v>16</v>
      </c>
      <c r="F566" s="6">
        <v>179</v>
      </c>
      <c r="G566" s="6">
        <v>789</v>
      </c>
    </row>
    <row r="567" spans="1:8">
      <c r="A567" s="4">
        <v>70</v>
      </c>
      <c r="B567" s="4" t="s">
        <v>7</v>
      </c>
      <c r="C567" s="4" t="s">
        <v>15</v>
      </c>
      <c r="D567" s="6" t="s">
        <v>9</v>
      </c>
      <c r="E567" s="4" t="s">
        <v>16</v>
      </c>
      <c r="F567" s="6">
        <v>182</v>
      </c>
      <c r="G567" s="6">
        <v>2629.2</v>
      </c>
      <c r="H567" s="21" t="s">
        <v>31</v>
      </c>
    </row>
    <row r="568" spans="1:8">
      <c r="A568" s="4">
        <v>71</v>
      </c>
      <c r="B568" s="4" t="s">
        <v>7</v>
      </c>
      <c r="C568" s="4" t="s">
        <v>15</v>
      </c>
      <c r="D568" s="6" t="s">
        <v>14</v>
      </c>
      <c r="E568" s="4" t="s">
        <v>16</v>
      </c>
      <c r="F568" s="6">
        <v>183</v>
      </c>
      <c r="G568" s="6">
        <v>460</v>
      </c>
    </row>
    <row r="569" spans="1:8">
      <c r="A569" s="4">
        <v>72</v>
      </c>
      <c r="B569" s="4" t="s">
        <v>7</v>
      </c>
      <c r="C569" s="4" t="s">
        <v>17</v>
      </c>
      <c r="D569" s="4" t="s">
        <v>12</v>
      </c>
      <c r="E569" s="4" t="s">
        <v>16</v>
      </c>
      <c r="F569" s="6">
        <v>189</v>
      </c>
      <c r="G569" s="6">
        <v>315</v>
      </c>
    </row>
    <row r="570" spans="1:8">
      <c r="A570" s="4">
        <v>73</v>
      </c>
      <c r="B570" s="4" t="s">
        <v>7</v>
      </c>
      <c r="C570" s="4" t="s">
        <v>15</v>
      </c>
      <c r="D570" s="4" t="s">
        <v>12</v>
      </c>
      <c r="E570" s="4" t="s">
        <v>16</v>
      </c>
      <c r="F570" s="4">
        <v>193</v>
      </c>
      <c r="G570" s="5">
        <v>734</v>
      </c>
    </row>
    <row r="571" spans="1:8">
      <c r="A571" s="4">
        <v>74</v>
      </c>
      <c r="B571" s="4" t="s">
        <v>7</v>
      </c>
      <c r="C571" s="4" t="s">
        <v>17</v>
      </c>
      <c r="D571" s="4" t="s">
        <v>12</v>
      </c>
      <c r="E571" s="4" t="s">
        <v>16</v>
      </c>
      <c r="F571" s="6">
        <v>195</v>
      </c>
      <c r="G571" s="6">
        <v>322</v>
      </c>
    </row>
    <row r="572" spans="1:8">
      <c r="A572" s="4">
        <v>75</v>
      </c>
      <c r="B572" s="4" t="s">
        <v>7</v>
      </c>
      <c r="C572" s="4" t="s">
        <v>15</v>
      </c>
      <c r="D572" s="4" t="s">
        <v>12</v>
      </c>
      <c r="E572" s="4" t="s">
        <v>16</v>
      </c>
      <c r="F572" s="4">
        <v>209</v>
      </c>
      <c r="G572" s="5">
        <v>1993.4419999999996</v>
      </c>
    </row>
    <row r="573" spans="1:8">
      <c r="A573" s="4">
        <v>76</v>
      </c>
      <c r="B573" s="4" t="s">
        <v>7</v>
      </c>
      <c r="C573" s="4" t="s">
        <v>15</v>
      </c>
      <c r="D573" s="6" t="s">
        <v>9</v>
      </c>
      <c r="E573" s="4" t="s">
        <v>16</v>
      </c>
      <c r="F573" s="4">
        <v>237</v>
      </c>
      <c r="G573" s="5">
        <v>3064.5450777202072</v>
      </c>
      <c r="H573" s="21" t="s">
        <v>31</v>
      </c>
    </row>
    <row r="574" spans="1:8">
      <c r="A574" s="4">
        <v>77</v>
      </c>
      <c r="B574" s="4" t="s">
        <v>7</v>
      </c>
      <c r="C574" s="6" t="s">
        <v>8</v>
      </c>
      <c r="D574" s="6" t="s">
        <v>9</v>
      </c>
      <c r="E574" s="4" t="s">
        <v>16</v>
      </c>
      <c r="F574" s="6">
        <v>250</v>
      </c>
      <c r="G574" s="6">
        <v>400</v>
      </c>
      <c r="H574" s="21" t="s">
        <v>31</v>
      </c>
    </row>
    <row r="577" spans="1:7" ht="32">
      <c r="A577" s="1" t="s">
        <v>0</v>
      </c>
      <c r="B577" s="8" t="s">
        <v>1</v>
      </c>
      <c r="C577" s="7" t="s">
        <v>2</v>
      </c>
      <c r="D577" s="7" t="s">
        <v>3</v>
      </c>
      <c r="E577" s="9" t="s">
        <v>4</v>
      </c>
      <c r="F577" s="2" t="s">
        <v>5</v>
      </c>
      <c r="G577" s="2" t="s">
        <v>6</v>
      </c>
    </row>
    <row r="578" spans="1:7">
      <c r="A578" s="4">
        <v>5</v>
      </c>
      <c r="B578" s="4" t="s">
        <v>7</v>
      </c>
      <c r="C578" s="4" t="s">
        <v>15</v>
      </c>
      <c r="D578" s="6" t="s">
        <v>9</v>
      </c>
      <c r="E578" s="4" t="s">
        <v>16</v>
      </c>
      <c r="F578" s="6">
        <v>46</v>
      </c>
      <c r="G578" s="6">
        <v>1009</v>
      </c>
    </row>
    <row r="579" spans="1:7">
      <c r="A579" s="4">
        <v>7</v>
      </c>
      <c r="B579" s="4" t="s">
        <v>7</v>
      </c>
      <c r="C579" s="4" t="s">
        <v>15</v>
      </c>
      <c r="D579" s="4" t="s">
        <v>12</v>
      </c>
      <c r="E579" s="4" t="s">
        <v>16</v>
      </c>
      <c r="F579" s="4">
        <v>52</v>
      </c>
      <c r="G579" s="5">
        <v>274.09199999999998</v>
      </c>
    </row>
    <row r="580" spans="1:7">
      <c r="A580" s="4">
        <v>8</v>
      </c>
      <c r="B580" s="4" t="s">
        <v>7</v>
      </c>
      <c r="C580" s="4" t="s">
        <v>15</v>
      </c>
      <c r="D580" s="4" t="s">
        <v>12</v>
      </c>
      <c r="E580" s="4" t="s">
        <v>16</v>
      </c>
      <c r="F580" s="4">
        <v>61</v>
      </c>
      <c r="G580" s="5">
        <v>336.84199999999998</v>
      </c>
    </row>
    <row r="581" spans="1:7">
      <c r="A581" s="4">
        <v>10</v>
      </c>
      <c r="B581" s="4" t="s">
        <v>7</v>
      </c>
      <c r="C581" s="4" t="s">
        <v>15</v>
      </c>
      <c r="D581" s="4" t="s">
        <v>12</v>
      </c>
      <c r="E581" s="4" t="s">
        <v>16</v>
      </c>
      <c r="F581" s="4">
        <v>68</v>
      </c>
      <c r="G581" s="5">
        <v>512.04</v>
      </c>
    </row>
    <row r="582" spans="1:7">
      <c r="A582" s="4">
        <v>12</v>
      </c>
      <c r="B582" s="4" t="s">
        <v>7</v>
      </c>
      <c r="C582" s="4" t="s">
        <v>15</v>
      </c>
      <c r="D582" s="4" t="s">
        <v>12</v>
      </c>
      <c r="E582" s="4" t="s">
        <v>16</v>
      </c>
      <c r="F582" s="4">
        <v>70</v>
      </c>
      <c r="G582" s="5">
        <v>379.512</v>
      </c>
    </row>
    <row r="583" spans="1:7">
      <c r="A583" s="4">
        <v>13</v>
      </c>
      <c r="B583" s="4" t="s">
        <v>7</v>
      </c>
      <c r="C583" s="4" t="s">
        <v>15</v>
      </c>
      <c r="D583" s="4" t="s">
        <v>12</v>
      </c>
      <c r="E583" s="4" t="s">
        <v>16</v>
      </c>
      <c r="F583" s="4">
        <v>72</v>
      </c>
      <c r="G583" s="5">
        <v>397.58399999999995</v>
      </c>
    </row>
    <row r="584" spans="1:7">
      <c r="A584" s="4">
        <v>14</v>
      </c>
      <c r="B584" s="4" t="s">
        <v>7</v>
      </c>
      <c r="C584" s="4" t="s">
        <v>15</v>
      </c>
      <c r="D584" s="4" t="s">
        <v>12</v>
      </c>
      <c r="E584" s="4" t="s">
        <v>16</v>
      </c>
      <c r="F584" s="4">
        <v>73</v>
      </c>
      <c r="G584" s="5">
        <v>659.62799999999993</v>
      </c>
    </row>
    <row r="585" spans="1:7">
      <c r="A585" s="4">
        <v>15</v>
      </c>
      <c r="B585" s="4" t="s">
        <v>7</v>
      </c>
      <c r="C585" s="4" t="s">
        <v>15</v>
      </c>
      <c r="D585" s="4" t="s">
        <v>12</v>
      </c>
      <c r="E585" s="4" t="s">
        <v>16</v>
      </c>
      <c r="F585" s="4">
        <v>74</v>
      </c>
      <c r="G585" s="5">
        <v>482.92399999999998</v>
      </c>
    </row>
    <row r="586" spans="1:7">
      <c r="A586" s="4">
        <v>17</v>
      </c>
      <c r="B586" s="4" t="s">
        <v>7</v>
      </c>
      <c r="C586" s="4" t="s">
        <v>17</v>
      </c>
      <c r="D586" s="6" t="s">
        <v>14</v>
      </c>
      <c r="E586" s="4" t="s">
        <v>16</v>
      </c>
      <c r="F586" s="6">
        <v>76</v>
      </c>
      <c r="G586" s="6">
        <v>1100</v>
      </c>
    </row>
    <row r="587" spans="1:7">
      <c r="A587" s="4">
        <v>19</v>
      </c>
      <c r="B587" s="4" t="s">
        <v>7</v>
      </c>
      <c r="C587" s="4" t="s">
        <v>15</v>
      </c>
      <c r="D587" s="4" t="s">
        <v>12</v>
      </c>
      <c r="E587" s="4" t="s">
        <v>16</v>
      </c>
      <c r="F587" s="4">
        <v>79</v>
      </c>
      <c r="G587" s="5">
        <v>475.89599999999996</v>
      </c>
    </row>
    <row r="588" spans="1:7">
      <c r="A588" s="4">
        <v>23</v>
      </c>
      <c r="B588" s="4" t="s">
        <v>7</v>
      </c>
      <c r="C588" s="4" t="s">
        <v>15</v>
      </c>
      <c r="D588" s="4" t="s">
        <v>12</v>
      </c>
      <c r="E588" s="4" t="s">
        <v>16</v>
      </c>
      <c r="F588" s="4">
        <v>81</v>
      </c>
      <c r="G588" s="5">
        <v>691.25399999999991</v>
      </c>
    </row>
    <row r="589" spans="1:7">
      <c r="A589" s="4">
        <v>24</v>
      </c>
      <c r="B589" s="4" t="s">
        <v>7</v>
      </c>
      <c r="C589" s="4" t="s">
        <v>15</v>
      </c>
      <c r="D589" s="4" t="s">
        <v>12</v>
      </c>
      <c r="E589" s="4" t="s">
        <v>16</v>
      </c>
      <c r="F589" s="4">
        <v>83</v>
      </c>
      <c r="G589" s="5">
        <v>466.6592</v>
      </c>
    </row>
    <row r="590" spans="1:7">
      <c r="A590" s="4">
        <v>25</v>
      </c>
      <c r="B590" s="4" t="s">
        <v>7</v>
      </c>
      <c r="C590" s="4" t="s">
        <v>15</v>
      </c>
      <c r="D590" s="6" t="s">
        <v>9</v>
      </c>
      <c r="E590" s="4" t="s">
        <v>16</v>
      </c>
      <c r="F590" s="6">
        <v>83</v>
      </c>
      <c r="G590" s="6">
        <v>855</v>
      </c>
    </row>
    <row r="591" spans="1:7">
      <c r="A591" s="4">
        <v>26</v>
      </c>
      <c r="B591" s="4" t="s">
        <v>7</v>
      </c>
      <c r="C591" s="4" t="s">
        <v>15</v>
      </c>
      <c r="D591" s="4" t="s">
        <v>12</v>
      </c>
      <c r="E591" s="4" t="s">
        <v>16</v>
      </c>
      <c r="F591" s="4">
        <v>84</v>
      </c>
      <c r="G591" s="5">
        <v>421.67999999999995</v>
      </c>
    </row>
    <row r="592" spans="1:7">
      <c r="A592" s="4">
        <v>27</v>
      </c>
      <c r="B592" s="4" t="s">
        <v>7</v>
      </c>
      <c r="C592" s="4" t="s">
        <v>15</v>
      </c>
      <c r="D592" s="4" t="s">
        <v>12</v>
      </c>
      <c r="E592" s="4" t="s">
        <v>16</v>
      </c>
      <c r="F592" s="4">
        <v>85</v>
      </c>
      <c r="G592" s="5">
        <v>725.39</v>
      </c>
    </row>
    <row r="593" spans="1:7">
      <c r="A593" s="4">
        <v>30</v>
      </c>
      <c r="B593" s="4" t="s">
        <v>7</v>
      </c>
      <c r="C593" s="4" t="s">
        <v>15</v>
      </c>
      <c r="D593" s="4" t="s">
        <v>12</v>
      </c>
      <c r="E593" s="4" t="s">
        <v>16</v>
      </c>
      <c r="F593" s="4">
        <v>90</v>
      </c>
      <c r="G593" s="5">
        <v>406.61999999999995</v>
      </c>
    </row>
    <row r="594" spans="1:7">
      <c r="A594" s="4">
        <v>32</v>
      </c>
      <c r="B594" s="4" t="s">
        <v>7</v>
      </c>
      <c r="C594" s="4" t="s">
        <v>15</v>
      </c>
      <c r="D594" s="4" t="s">
        <v>12</v>
      </c>
      <c r="E594" s="4" t="s">
        <v>16</v>
      </c>
      <c r="F594" s="4">
        <v>92</v>
      </c>
      <c r="G594" s="5">
        <v>831.31200000000001</v>
      </c>
    </row>
    <row r="595" spans="1:7">
      <c r="A595" s="4">
        <v>33</v>
      </c>
      <c r="B595" s="4" t="s">
        <v>7</v>
      </c>
      <c r="C595" s="4" t="s">
        <v>15</v>
      </c>
      <c r="D595" s="4" t="s">
        <v>12</v>
      </c>
      <c r="E595" s="4" t="s">
        <v>16</v>
      </c>
      <c r="F595" s="4">
        <v>100</v>
      </c>
      <c r="G595" s="5">
        <v>702.79999999999984</v>
      </c>
    </row>
    <row r="596" spans="1:7">
      <c r="A596" s="4">
        <v>35</v>
      </c>
      <c r="B596" s="4" t="s">
        <v>7</v>
      </c>
      <c r="C596" s="4" t="s">
        <v>15</v>
      </c>
      <c r="D596" s="4" t="s">
        <v>12</v>
      </c>
      <c r="E596" s="4" t="s">
        <v>16</v>
      </c>
      <c r="F596" s="4">
        <v>102</v>
      </c>
      <c r="G596" s="5">
        <v>921.67199999999991</v>
      </c>
    </row>
    <row r="597" spans="1:7">
      <c r="A597" s="4">
        <v>37</v>
      </c>
      <c r="B597" s="4" t="s">
        <v>7</v>
      </c>
      <c r="C597" s="4" t="s">
        <v>15</v>
      </c>
      <c r="D597" s="4" t="s">
        <v>12</v>
      </c>
      <c r="E597" s="4" t="s">
        <v>16</v>
      </c>
      <c r="F597" s="4">
        <v>108</v>
      </c>
      <c r="G597" s="5">
        <v>650.59199999999998</v>
      </c>
    </row>
    <row r="598" spans="1:7">
      <c r="A598" s="4">
        <v>38</v>
      </c>
      <c r="B598" s="4" t="s">
        <v>7</v>
      </c>
      <c r="C598" s="4" t="s">
        <v>17</v>
      </c>
      <c r="D598" s="6" t="s">
        <v>14</v>
      </c>
      <c r="E598" s="4" t="s">
        <v>16</v>
      </c>
      <c r="F598" s="6">
        <v>108</v>
      </c>
      <c r="G598" s="6">
        <v>1276</v>
      </c>
    </row>
    <row r="599" spans="1:7">
      <c r="A599" s="4">
        <v>39</v>
      </c>
      <c r="B599" s="4" t="s">
        <v>7</v>
      </c>
      <c r="C599" s="4" t="s">
        <v>17</v>
      </c>
      <c r="D599" s="4" t="s">
        <v>12</v>
      </c>
      <c r="E599" s="4" t="s">
        <v>16</v>
      </c>
      <c r="F599" s="6">
        <v>110</v>
      </c>
      <c r="G599" s="6">
        <v>884</v>
      </c>
    </row>
    <row r="600" spans="1:7">
      <c r="A600" s="4">
        <v>40</v>
      </c>
      <c r="B600" s="4" t="s">
        <v>7</v>
      </c>
      <c r="C600" s="4" t="s">
        <v>15</v>
      </c>
      <c r="D600" s="4" t="s">
        <v>12</v>
      </c>
      <c r="E600" s="4" t="s">
        <v>16</v>
      </c>
      <c r="F600" s="4">
        <v>114</v>
      </c>
      <c r="G600" s="5">
        <v>502</v>
      </c>
    </row>
    <row r="601" spans="1:7">
      <c r="A601" s="4">
        <v>42</v>
      </c>
      <c r="B601" s="4" t="s">
        <v>11</v>
      </c>
      <c r="C601" s="6" t="s">
        <v>8</v>
      </c>
      <c r="D601" s="6" t="s">
        <v>9</v>
      </c>
      <c r="E601" s="4" t="s">
        <v>16</v>
      </c>
      <c r="F601" s="6">
        <v>115</v>
      </c>
      <c r="G601" s="6">
        <v>285</v>
      </c>
    </row>
    <row r="602" spans="1:7">
      <c r="A602" s="4">
        <v>43</v>
      </c>
      <c r="B602" s="4" t="s">
        <v>7</v>
      </c>
      <c r="C602" s="4" t="s">
        <v>15</v>
      </c>
      <c r="D602" s="4" t="s">
        <v>12</v>
      </c>
      <c r="E602" s="4" t="s">
        <v>16</v>
      </c>
      <c r="F602" s="4">
        <v>115</v>
      </c>
      <c r="G602" s="5">
        <v>692.75999999999988</v>
      </c>
    </row>
    <row r="603" spans="1:7">
      <c r="A603" s="4">
        <v>45</v>
      </c>
      <c r="B603" s="4" t="s">
        <v>7</v>
      </c>
      <c r="C603" s="4" t="s">
        <v>15</v>
      </c>
      <c r="D603" s="4" t="s">
        <v>12</v>
      </c>
      <c r="E603" s="4" t="s">
        <v>16</v>
      </c>
      <c r="F603" s="4">
        <v>117</v>
      </c>
      <c r="G603" s="5">
        <v>728.30159999999989</v>
      </c>
    </row>
    <row r="604" spans="1:7">
      <c r="A604" s="4">
        <v>46</v>
      </c>
      <c r="B604" s="4" t="s">
        <v>7</v>
      </c>
      <c r="C604" s="4" t="s">
        <v>15</v>
      </c>
      <c r="D604" s="4" t="s">
        <v>12</v>
      </c>
      <c r="E604" s="4" t="s">
        <v>16</v>
      </c>
      <c r="F604" s="4">
        <v>117</v>
      </c>
      <c r="G604" s="5">
        <v>998.47799999999984</v>
      </c>
    </row>
    <row r="605" spans="1:7">
      <c r="A605" s="4">
        <v>47</v>
      </c>
      <c r="B605" s="4" t="s">
        <v>7</v>
      </c>
      <c r="C605" s="4" t="s">
        <v>15</v>
      </c>
      <c r="D605" s="4" t="s">
        <v>12</v>
      </c>
      <c r="E605" s="4" t="s">
        <v>16</v>
      </c>
      <c r="F605" s="4">
        <v>118</v>
      </c>
      <c r="G605" s="5">
        <v>1795.0673575129535</v>
      </c>
    </row>
    <row r="606" spans="1:7">
      <c r="A606" s="4">
        <v>48</v>
      </c>
      <c r="B606" s="4" t="s">
        <v>7</v>
      </c>
      <c r="C606" s="4" t="s">
        <v>17</v>
      </c>
      <c r="D606" s="4" t="s">
        <v>12</v>
      </c>
      <c r="E606" s="4" t="s">
        <v>16</v>
      </c>
      <c r="F606" s="6">
        <v>122</v>
      </c>
      <c r="G606" s="6">
        <v>1045</v>
      </c>
    </row>
    <row r="607" spans="1:7">
      <c r="A607" s="4">
        <v>49</v>
      </c>
      <c r="B607" s="4" t="s">
        <v>7</v>
      </c>
      <c r="C607" s="4" t="s">
        <v>15</v>
      </c>
      <c r="D607" s="4" t="s">
        <v>12</v>
      </c>
      <c r="E607" s="4" t="s">
        <v>16</v>
      </c>
      <c r="F607" s="4">
        <v>125</v>
      </c>
      <c r="G607" s="5">
        <v>1004</v>
      </c>
    </row>
    <row r="608" spans="1:7">
      <c r="A608" s="4">
        <v>51</v>
      </c>
      <c r="B608" s="4" t="s">
        <v>7</v>
      </c>
      <c r="C608" s="4" t="s">
        <v>15</v>
      </c>
      <c r="D608" s="4" t="s">
        <v>12</v>
      </c>
      <c r="E608" s="4" t="s">
        <v>16</v>
      </c>
      <c r="F608" s="4">
        <v>127</v>
      </c>
      <c r="G608" s="5">
        <v>1020.064</v>
      </c>
    </row>
    <row r="609" spans="1:7">
      <c r="A609" s="4">
        <v>52</v>
      </c>
      <c r="B609" s="4" t="s">
        <v>7</v>
      </c>
      <c r="C609" s="4" t="s">
        <v>15</v>
      </c>
      <c r="D609" s="4" t="s">
        <v>12</v>
      </c>
      <c r="E609" s="4" t="s">
        <v>16</v>
      </c>
      <c r="F609" s="6">
        <v>135</v>
      </c>
      <c r="G609" s="6">
        <v>1053</v>
      </c>
    </row>
    <row r="610" spans="1:7">
      <c r="A610" s="4">
        <v>54</v>
      </c>
      <c r="B610" s="4" t="s">
        <v>7</v>
      </c>
      <c r="C610" s="4" t="s">
        <v>15</v>
      </c>
      <c r="D610" s="4" t="s">
        <v>12</v>
      </c>
      <c r="E610" s="4" t="s">
        <v>16</v>
      </c>
      <c r="F610" s="4">
        <v>136</v>
      </c>
      <c r="G610" s="5">
        <v>1024.08</v>
      </c>
    </row>
    <row r="611" spans="1:7">
      <c r="A611" s="4">
        <v>55</v>
      </c>
      <c r="B611" s="4" t="s">
        <v>7</v>
      </c>
      <c r="C611" s="4" t="s">
        <v>15</v>
      </c>
      <c r="D611" s="4" t="s">
        <v>12</v>
      </c>
      <c r="E611" s="4" t="s">
        <v>16</v>
      </c>
      <c r="F611" s="4">
        <v>143</v>
      </c>
      <c r="G611" s="5">
        <v>861.4319999999999</v>
      </c>
    </row>
    <row r="612" spans="1:7">
      <c r="A612" s="4">
        <v>59</v>
      </c>
      <c r="B612" s="4" t="s">
        <v>7</v>
      </c>
      <c r="C612" s="4" t="s">
        <v>15</v>
      </c>
      <c r="D612" s="4" t="s">
        <v>12</v>
      </c>
      <c r="E612" s="4" t="s">
        <v>16</v>
      </c>
      <c r="F612" s="4">
        <v>153</v>
      </c>
      <c r="G612" s="5">
        <v>1228.896</v>
      </c>
    </row>
    <row r="613" spans="1:7">
      <c r="A613" s="4">
        <v>60</v>
      </c>
      <c r="B613" s="4" t="s">
        <v>7</v>
      </c>
      <c r="C613" s="4" t="s">
        <v>15</v>
      </c>
      <c r="D613" s="4" t="s">
        <v>12</v>
      </c>
      <c r="E613" s="4" t="s">
        <v>16</v>
      </c>
      <c r="F613" s="6">
        <v>156</v>
      </c>
      <c r="G613" s="6">
        <v>1025</v>
      </c>
    </row>
    <row r="614" spans="1:7">
      <c r="A614" s="4">
        <v>63</v>
      </c>
      <c r="B614" s="4" t="s">
        <v>7</v>
      </c>
      <c r="C614" s="4" t="s">
        <v>15</v>
      </c>
      <c r="D614" s="4" t="s">
        <v>12</v>
      </c>
      <c r="E614" s="4" t="s">
        <v>16</v>
      </c>
      <c r="F614" s="4">
        <v>162</v>
      </c>
      <c r="G614" s="5">
        <v>1305</v>
      </c>
    </row>
    <row r="615" spans="1:7">
      <c r="A615" s="4">
        <v>64</v>
      </c>
      <c r="B615" s="4" t="s">
        <v>7</v>
      </c>
      <c r="C615" s="4" t="s">
        <v>15</v>
      </c>
      <c r="D615" s="4" t="s">
        <v>12</v>
      </c>
      <c r="E615" s="4" t="s">
        <v>16</v>
      </c>
      <c r="F615" s="4">
        <v>162</v>
      </c>
      <c r="G615" s="5">
        <v>1903.7602072538862</v>
      </c>
    </row>
    <row r="616" spans="1:7">
      <c r="A616" s="4">
        <v>66</v>
      </c>
      <c r="B616" s="4" t="s">
        <v>7</v>
      </c>
      <c r="C616" s="4" t="s">
        <v>15</v>
      </c>
      <c r="D616" s="6" t="s">
        <v>9</v>
      </c>
      <c r="E616" s="4" t="s">
        <v>16</v>
      </c>
      <c r="F616" s="6">
        <v>174</v>
      </c>
      <c r="G616" s="6">
        <v>1876</v>
      </c>
    </row>
    <row r="617" spans="1:7">
      <c r="A617" s="4">
        <v>67</v>
      </c>
      <c r="B617" s="4" t="s">
        <v>11</v>
      </c>
      <c r="C617" s="6" t="s">
        <v>8</v>
      </c>
      <c r="D617" s="6" t="s">
        <v>9</v>
      </c>
      <c r="E617" s="4" t="s">
        <v>16</v>
      </c>
      <c r="F617" s="6">
        <v>178</v>
      </c>
      <c r="G617" s="6">
        <v>290</v>
      </c>
    </row>
    <row r="618" spans="1:7">
      <c r="A618" s="4">
        <v>68</v>
      </c>
      <c r="B618" s="4" t="s">
        <v>7</v>
      </c>
      <c r="C618" s="4" t="s">
        <v>15</v>
      </c>
      <c r="D618" s="6" t="s">
        <v>9</v>
      </c>
      <c r="E618" s="4" t="s">
        <v>16</v>
      </c>
      <c r="F618" s="6">
        <v>179</v>
      </c>
      <c r="G618" s="6">
        <v>789</v>
      </c>
    </row>
    <row r="619" spans="1:7">
      <c r="A619" s="4">
        <v>71</v>
      </c>
      <c r="B619" s="4" t="s">
        <v>7</v>
      </c>
      <c r="C619" s="4" t="s">
        <v>15</v>
      </c>
      <c r="D619" s="6" t="s">
        <v>14</v>
      </c>
      <c r="E619" s="4" t="s">
        <v>16</v>
      </c>
      <c r="F619" s="6">
        <v>183</v>
      </c>
      <c r="G619" s="6">
        <v>460</v>
      </c>
    </row>
    <row r="620" spans="1:7">
      <c r="A620" s="4">
        <v>72</v>
      </c>
      <c r="B620" s="4" t="s">
        <v>7</v>
      </c>
      <c r="C620" s="4" t="s">
        <v>17</v>
      </c>
      <c r="D620" s="4" t="s">
        <v>12</v>
      </c>
      <c r="E620" s="4" t="s">
        <v>16</v>
      </c>
      <c r="F620" s="6">
        <v>189</v>
      </c>
      <c r="G620" s="6">
        <v>315</v>
      </c>
    </row>
    <row r="621" spans="1:7">
      <c r="A621" s="4">
        <v>73</v>
      </c>
      <c r="B621" s="4" t="s">
        <v>7</v>
      </c>
      <c r="C621" s="4" t="s">
        <v>15</v>
      </c>
      <c r="D621" s="4" t="s">
        <v>12</v>
      </c>
      <c r="E621" s="4" t="s">
        <v>16</v>
      </c>
      <c r="F621" s="4">
        <v>193</v>
      </c>
      <c r="G621" s="5">
        <v>734</v>
      </c>
    </row>
    <row r="622" spans="1:7">
      <c r="A622" s="4">
        <v>74</v>
      </c>
      <c r="B622" s="4" t="s">
        <v>7</v>
      </c>
      <c r="C622" s="4" t="s">
        <v>17</v>
      </c>
      <c r="D622" s="4" t="s">
        <v>12</v>
      </c>
      <c r="E622" s="4" t="s">
        <v>16</v>
      </c>
      <c r="F622" s="6">
        <v>195</v>
      </c>
      <c r="G622" s="6">
        <v>322</v>
      </c>
    </row>
    <row r="623" spans="1:7">
      <c r="A623" s="4">
        <v>75</v>
      </c>
      <c r="B623" s="4" t="s">
        <v>7</v>
      </c>
      <c r="C623" s="4" t="s">
        <v>15</v>
      </c>
      <c r="D623" s="4" t="s">
        <v>12</v>
      </c>
      <c r="E623" s="4" t="s">
        <v>16</v>
      </c>
      <c r="F623" s="4">
        <v>209</v>
      </c>
      <c r="G623" s="5">
        <v>1993.4419999999996</v>
      </c>
    </row>
    <row r="625" spans="1:7">
      <c r="A625" t="s">
        <v>28</v>
      </c>
    </row>
    <row r="626" spans="1:7" ht="20">
      <c r="A626" s="13" t="s">
        <v>29</v>
      </c>
    </row>
    <row r="627" spans="1:7" ht="17">
      <c r="A627" s="14" t="s">
        <v>30</v>
      </c>
      <c r="B627" s="14" t="s">
        <v>6</v>
      </c>
      <c r="C627" s="14"/>
      <c r="D627" s="14"/>
      <c r="E627" s="14"/>
      <c r="F627" s="14"/>
    </row>
    <row r="628" spans="1:7" ht="17">
      <c r="A628" s="14">
        <v>28</v>
      </c>
      <c r="B628" s="14">
        <v>1795</v>
      </c>
      <c r="C628" s="14"/>
      <c r="D628" s="14"/>
      <c r="E628" s="14"/>
      <c r="F628" s="14"/>
    </row>
    <row r="629" spans="1:7" ht="17">
      <c r="A629" s="14">
        <v>38</v>
      </c>
      <c r="B629" s="14">
        <v>1904</v>
      </c>
      <c r="C629" s="14"/>
      <c r="D629" s="14"/>
      <c r="E629" s="14"/>
      <c r="F629" s="14"/>
    </row>
    <row r="630" spans="1:7" ht="17">
      <c r="A630" s="14">
        <v>39</v>
      </c>
      <c r="B630" s="14">
        <v>1876</v>
      </c>
      <c r="C630" s="14"/>
      <c r="D630" s="14"/>
      <c r="E630" s="14"/>
      <c r="F630" s="14"/>
    </row>
    <row r="631" spans="1:7" ht="17">
      <c r="A631" s="14">
        <v>46</v>
      </c>
      <c r="B631" s="14">
        <v>1993</v>
      </c>
      <c r="C631" s="14"/>
      <c r="D631" s="14"/>
      <c r="E631" s="14"/>
      <c r="F631" s="14"/>
    </row>
    <row r="632" spans="1:7" ht="17">
      <c r="A632" s="16"/>
    </row>
    <row r="634" spans="1:7" ht="32">
      <c r="A634" s="1" t="s">
        <v>0</v>
      </c>
      <c r="B634" s="8" t="s">
        <v>1</v>
      </c>
      <c r="C634" s="7" t="s">
        <v>2</v>
      </c>
      <c r="D634" s="7" t="s">
        <v>3</v>
      </c>
      <c r="E634" s="9" t="s">
        <v>4</v>
      </c>
      <c r="F634" s="2" t="s">
        <v>5</v>
      </c>
      <c r="G634" s="2" t="s">
        <v>6</v>
      </c>
    </row>
    <row r="635" spans="1:7">
      <c r="A635" s="4">
        <v>5</v>
      </c>
      <c r="B635" s="4" t="s">
        <v>7</v>
      </c>
      <c r="C635" s="4" t="s">
        <v>15</v>
      </c>
      <c r="D635" s="6" t="s">
        <v>9</v>
      </c>
      <c r="E635" s="4" t="s">
        <v>16</v>
      </c>
      <c r="F635" s="6">
        <v>46</v>
      </c>
      <c r="G635" s="6">
        <v>1009</v>
      </c>
    </row>
    <row r="636" spans="1:7">
      <c r="A636" s="4">
        <v>7</v>
      </c>
      <c r="B636" s="4" t="s">
        <v>7</v>
      </c>
      <c r="C636" s="4" t="s">
        <v>15</v>
      </c>
      <c r="D636" s="4" t="s">
        <v>12</v>
      </c>
      <c r="E636" s="4" t="s">
        <v>16</v>
      </c>
      <c r="F636" s="4">
        <v>52</v>
      </c>
      <c r="G636" s="5">
        <v>274.09199999999998</v>
      </c>
    </row>
    <row r="637" spans="1:7">
      <c r="A637" s="4">
        <v>8</v>
      </c>
      <c r="B637" s="4" t="s">
        <v>7</v>
      </c>
      <c r="C637" s="4" t="s">
        <v>15</v>
      </c>
      <c r="D637" s="4" t="s">
        <v>12</v>
      </c>
      <c r="E637" s="4" t="s">
        <v>16</v>
      </c>
      <c r="F637" s="4">
        <v>61</v>
      </c>
      <c r="G637" s="5">
        <v>336.84199999999998</v>
      </c>
    </row>
    <row r="638" spans="1:7">
      <c r="A638" s="4">
        <v>10</v>
      </c>
      <c r="B638" s="4" t="s">
        <v>7</v>
      </c>
      <c r="C638" s="4" t="s">
        <v>15</v>
      </c>
      <c r="D638" s="4" t="s">
        <v>12</v>
      </c>
      <c r="E638" s="4" t="s">
        <v>16</v>
      </c>
      <c r="F638" s="4">
        <v>68</v>
      </c>
      <c r="G638" s="5">
        <v>512.04</v>
      </c>
    </row>
    <row r="639" spans="1:7">
      <c r="A639" s="4">
        <v>12</v>
      </c>
      <c r="B639" s="4" t="s">
        <v>7</v>
      </c>
      <c r="C639" s="4" t="s">
        <v>15</v>
      </c>
      <c r="D639" s="4" t="s">
        <v>12</v>
      </c>
      <c r="E639" s="4" t="s">
        <v>16</v>
      </c>
      <c r="F639" s="4">
        <v>70</v>
      </c>
      <c r="G639" s="5">
        <v>379.512</v>
      </c>
    </row>
    <row r="640" spans="1:7">
      <c r="A640" s="4">
        <v>13</v>
      </c>
      <c r="B640" s="4" t="s">
        <v>7</v>
      </c>
      <c r="C640" s="4" t="s">
        <v>15</v>
      </c>
      <c r="D640" s="4" t="s">
        <v>12</v>
      </c>
      <c r="E640" s="4" t="s">
        <v>16</v>
      </c>
      <c r="F640" s="4">
        <v>72</v>
      </c>
      <c r="G640" s="5">
        <v>397.58399999999995</v>
      </c>
    </row>
    <row r="641" spans="1:7">
      <c r="A641" s="4">
        <v>14</v>
      </c>
      <c r="B641" s="4" t="s">
        <v>7</v>
      </c>
      <c r="C641" s="4" t="s">
        <v>15</v>
      </c>
      <c r="D641" s="4" t="s">
        <v>12</v>
      </c>
      <c r="E641" s="4" t="s">
        <v>16</v>
      </c>
      <c r="F641" s="4">
        <v>73</v>
      </c>
      <c r="G641" s="5">
        <v>659.62799999999993</v>
      </c>
    </row>
    <row r="642" spans="1:7">
      <c r="A642" s="4">
        <v>15</v>
      </c>
      <c r="B642" s="4" t="s">
        <v>7</v>
      </c>
      <c r="C642" s="4" t="s">
        <v>15</v>
      </c>
      <c r="D642" s="4" t="s">
        <v>12</v>
      </c>
      <c r="E642" s="4" t="s">
        <v>16</v>
      </c>
      <c r="F642" s="4">
        <v>74</v>
      </c>
      <c r="G642" s="5">
        <v>482.92399999999998</v>
      </c>
    </row>
    <row r="643" spans="1:7">
      <c r="A643" s="4">
        <v>17</v>
      </c>
      <c r="B643" s="4" t="s">
        <v>7</v>
      </c>
      <c r="C643" s="4" t="s">
        <v>17</v>
      </c>
      <c r="D643" s="6" t="s">
        <v>14</v>
      </c>
      <c r="E643" s="4" t="s">
        <v>16</v>
      </c>
      <c r="F643" s="6">
        <v>76</v>
      </c>
      <c r="G643" s="6">
        <v>1100</v>
      </c>
    </row>
    <row r="644" spans="1:7">
      <c r="A644" s="4">
        <v>19</v>
      </c>
      <c r="B644" s="4" t="s">
        <v>7</v>
      </c>
      <c r="C644" s="4" t="s">
        <v>15</v>
      </c>
      <c r="D644" s="4" t="s">
        <v>12</v>
      </c>
      <c r="E644" s="4" t="s">
        <v>16</v>
      </c>
      <c r="F644" s="4">
        <v>79</v>
      </c>
      <c r="G644" s="5">
        <v>475.89599999999996</v>
      </c>
    </row>
    <row r="645" spans="1:7">
      <c r="A645" s="4">
        <v>23</v>
      </c>
      <c r="B645" s="4" t="s">
        <v>7</v>
      </c>
      <c r="C645" s="4" t="s">
        <v>15</v>
      </c>
      <c r="D645" s="4" t="s">
        <v>12</v>
      </c>
      <c r="E645" s="4" t="s">
        <v>16</v>
      </c>
      <c r="F645" s="4">
        <v>81</v>
      </c>
      <c r="G645" s="5">
        <v>691.25399999999991</v>
      </c>
    </row>
    <row r="646" spans="1:7">
      <c r="A646" s="4">
        <v>24</v>
      </c>
      <c r="B646" s="4" t="s">
        <v>7</v>
      </c>
      <c r="C646" s="4" t="s">
        <v>15</v>
      </c>
      <c r="D646" s="4" t="s">
        <v>12</v>
      </c>
      <c r="E646" s="4" t="s">
        <v>16</v>
      </c>
      <c r="F646" s="4">
        <v>83</v>
      </c>
      <c r="G646" s="5">
        <v>466.6592</v>
      </c>
    </row>
    <row r="647" spans="1:7">
      <c r="A647" s="4">
        <v>25</v>
      </c>
      <c r="B647" s="4" t="s">
        <v>7</v>
      </c>
      <c r="C647" s="4" t="s">
        <v>15</v>
      </c>
      <c r="D647" s="6" t="s">
        <v>9</v>
      </c>
      <c r="E647" s="4" t="s">
        <v>16</v>
      </c>
      <c r="F647" s="6">
        <v>83</v>
      </c>
      <c r="G647" s="6">
        <v>855</v>
      </c>
    </row>
    <row r="648" spans="1:7">
      <c r="A648" s="4">
        <v>26</v>
      </c>
      <c r="B648" s="4" t="s">
        <v>7</v>
      </c>
      <c r="C648" s="4" t="s">
        <v>15</v>
      </c>
      <c r="D648" s="4" t="s">
        <v>12</v>
      </c>
      <c r="E648" s="4" t="s">
        <v>16</v>
      </c>
      <c r="F648" s="4">
        <v>84</v>
      </c>
      <c r="G648" s="5">
        <v>421.67999999999995</v>
      </c>
    </row>
    <row r="649" spans="1:7">
      <c r="A649" s="4">
        <v>27</v>
      </c>
      <c r="B649" s="4" t="s">
        <v>7</v>
      </c>
      <c r="C649" s="4" t="s">
        <v>15</v>
      </c>
      <c r="D649" s="4" t="s">
        <v>12</v>
      </c>
      <c r="E649" s="4" t="s">
        <v>16</v>
      </c>
      <c r="F649" s="4">
        <v>85</v>
      </c>
      <c r="G649" s="5">
        <v>725.39</v>
      </c>
    </row>
    <row r="650" spans="1:7">
      <c r="A650" s="4">
        <v>30</v>
      </c>
      <c r="B650" s="4" t="s">
        <v>7</v>
      </c>
      <c r="C650" s="4" t="s">
        <v>15</v>
      </c>
      <c r="D650" s="4" t="s">
        <v>12</v>
      </c>
      <c r="E650" s="4" t="s">
        <v>16</v>
      </c>
      <c r="F650" s="4">
        <v>90</v>
      </c>
      <c r="G650" s="5">
        <v>406.61999999999995</v>
      </c>
    </row>
    <row r="651" spans="1:7">
      <c r="A651" s="4">
        <v>32</v>
      </c>
      <c r="B651" s="4" t="s">
        <v>7</v>
      </c>
      <c r="C651" s="4" t="s">
        <v>15</v>
      </c>
      <c r="D651" s="4" t="s">
        <v>12</v>
      </c>
      <c r="E651" s="4" t="s">
        <v>16</v>
      </c>
      <c r="F651" s="4">
        <v>92</v>
      </c>
      <c r="G651" s="5">
        <v>831.31200000000001</v>
      </c>
    </row>
    <row r="652" spans="1:7">
      <c r="A652" s="4">
        <v>33</v>
      </c>
      <c r="B652" s="4" t="s">
        <v>7</v>
      </c>
      <c r="C652" s="4" t="s">
        <v>15</v>
      </c>
      <c r="D652" s="4" t="s">
        <v>12</v>
      </c>
      <c r="E652" s="4" t="s">
        <v>16</v>
      </c>
      <c r="F652" s="4">
        <v>100</v>
      </c>
      <c r="G652" s="5">
        <v>702.79999999999984</v>
      </c>
    </row>
    <row r="653" spans="1:7">
      <c r="A653" s="4">
        <v>35</v>
      </c>
      <c r="B653" s="4" t="s">
        <v>7</v>
      </c>
      <c r="C653" s="4" t="s">
        <v>15</v>
      </c>
      <c r="D653" s="4" t="s">
        <v>12</v>
      </c>
      <c r="E653" s="4" t="s">
        <v>16</v>
      </c>
      <c r="F653" s="4">
        <v>102</v>
      </c>
      <c r="G653" s="5">
        <v>921.67199999999991</v>
      </c>
    </row>
    <row r="654" spans="1:7">
      <c r="A654" s="4">
        <v>37</v>
      </c>
      <c r="B654" s="4" t="s">
        <v>7</v>
      </c>
      <c r="C654" s="4" t="s">
        <v>15</v>
      </c>
      <c r="D654" s="4" t="s">
        <v>12</v>
      </c>
      <c r="E654" s="4" t="s">
        <v>16</v>
      </c>
      <c r="F654" s="4">
        <v>108</v>
      </c>
      <c r="G654" s="5">
        <v>650.59199999999998</v>
      </c>
    </row>
    <row r="655" spans="1:7">
      <c r="A655" s="4">
        <v>38</v>
      </c>
      <c r="B655" s="4" t="s">
        <v>7</v>
      </c>
      <c r="C655" s="4" t="s">
        <v>17</v>
      </c>
      <c r="D655" s="6" t="s">
        <v>14</v>
      </c>
      <c r="E655" s="4" t="s">
        <v>16</v>
      </c>
      <c r="F655" s="6">
        <v>108</v>
      </c>
      <c r="G655" s="6">
        <v>1276</v>
      </c>
    </row>
    <row r="656" spans="1:7">
      <c r="A656" s="4">
        <v>39</v>
      </c>
      <c r="B656" s="4" t="s">
        <v>7</v>
      </c>
      <c r="C656" s="4" t="s">
        <v>17</v>
      </c>
      <c r="D656" s="4" t="s">
        <v>12</v>
      </c>
      <c r="E656" s="4" t="s">
        <v>16</v>
      </c>
      <c r="F656" s="6">
        <v>110</v>
      </c>
      <c r="G656" s="6">
        <v>884</v>
      </c>
    </row>
    <row r="657" spans="1:8">
      <c r="A657" s="4">
        <v>40</v>
      </c>
      <c r="B657" s="4" t="s">
        <v>7</v>
      </c>
      <c r="C657" s="4" t="s">
        <v>15</v>
      </c>
      <c r="D657" s="4" t="s">
        <v>12</v>
      </c>
      <c r="E657" s="4" t="s">
        <v>16</v>
      </c>
      <c r="F657" s="4">
        <v>114</v>
      </c>
      <c r="G657" s="5">
        <v>502</v>
      </c>
    </row>
    <row r="658" spans="1:8">
      <c r="A658" s="4">
        <v>42</v>
      </c>
      <c r="B658" s="4" t="s">
        <v>11</v>
      </c>
      <c r="C658" s="6" t="s">
        <v>8</v>
      </c>
      <c r="D658" s="6" t="s">
        <v>9</v>
      </c>
      <c r="E658" s="4" t="s">
        <v>16</v>
      </c>
      <c r="F658" s="6">
        <v>115</v>
      </c>
      <c r="G658" s="6">
        <v>285</v>
      </c>
    </row>
    <row r="659" spans="1:8">
      <c r="A659" s="4">
        <v>43</v>
      </c>
      <c r="B659" s="4" t="s">
        <v>7</v>
      </c>
      <c r="C659" s="4" t="s">
        <v>15</v>
      </c>
      <c r="D659" s="4" t="s">
        <v>12</v>
      </c>
      <c r="E659" s="4" t="s">
        <v>16</v>
      </c>
      <c r="F659" s="4">
        <v>115</v>
      </c>
      <c r="G659" s="5">
        <v>692.75999999999988</v>
      </c>
    </row>
    <row r="660" spans="1:8">
      <c r="A660" s="4">
        <v>45</v>
      </c>
      <c r="B660" s="4" t="s">
        <v>7</v>
      </c>
      <c r="C660" s="4" t="s">
        <v>15</v>
      </c>
      <c r="D660" s="4" t="s">
        <v>12</v>
      </c>
      <c r="E660" s="4" t="s">
        <v>16</v>
      </c>
      <c r="F660" s="4">
        <v>117</v>
      </c>
      <c r="G660" s="5">
        <v>728.30159999999989</v>
      </c>
    </row>
    <row r="661" spans="1:8">
      <c r="A661" s="4">
        <v>46</v>
      </c>
      <c r="B661" s="4" t="s">
        <v>7</v>
      </c>
      <c r="C661" s="4" t="s">
        <v>15</v>
      </c>
      <c r="D661" s="4" t="s">
        <v>12</v>
      </c>
      <c r="E661" s="4" t="s">
        <v>16</v>
      </c>
      <c r="F661" s="4">
        <v>117</v>
      </c>
      <c r="G661" s="5">
        <v>998.47799999999984</v>
      </c>
    </row>
    <row r="662" spans="1:8">
      <c r="A662" s="4">
        <v>47</v>
      </c>
      <c r="B662" s="4" t="s">
        <v>7</v>
      </c>
      <c r="C662" s="4" t="s">
        <v>15</v>
      </c>
      <c r="D662" s="4" t="s">
        <v>12</v>
      </c>
      <c r="E662" s="4" t="s">
        <v>16</v>
      </c>
      <c r="F662" s="4">
        <v>118</v>
      </c>
      <c r="G662" s="5">
        <v>1795.0673575129535</v>
      </c>
      <c r="H662" s="21" t="s">
        <v>31</v>
      </c>
    </row>
    <row r="663" spans="1:8">
      <c r="A663" s="4">
        <v>48</v>
      </c>
      <c r="B663" s="4" t="s">
        <v>7</v>
      </c>
      <c r="C663" s="4" t="s">
        <v>17</v>
      </c>
      <c r="D663" s="4" t="s">
        <v>12</v>
      </c>
      <c r="E663" s="4" t="s">
        <v>16</v>
      </c>
      <c r="F663" s="6">
        <v>122</v>
      </c>
      <c r="G663" s="6">
        <v>1045</v>
      </c>
    </row>
    <row r="664" spans="1:8">
      <c r="A664" s="4">
        <v>49</v>
      </c>
      <c r="B664" s="4" t="s">
        <v>7</v>
      </c>
      <c r="C664" s="4" t="s">
        <v>15</v>
      </c>
      <c r="D664" s="4" t="s">
        <v>12</v>
      </c>
      <c r="E664" s="4" t="s">
        <v>16</v>
      </c>
      <c r="F664" s="4">
        <v>125</v>
      </c>
      <c r="G664" s="5">
        <v>1004</v>
      </c>
    </row>
    <row r="665" spans="1:8">
      <c r="A665" s="4">
        <v>51</v>
      </c>
      <c r="B665" s="4" t="s">
        <v>7</v>
      </c>
      <c r="C665" s="4" t="s">
        <v>15</v>
      </c>
      <c r="D665" s="4" t="s">
        <v>12</v>
      </c>
      <c r="E665" s="4" t="s">
        <v>16</v>
      </c>
      <c r="F665" s="4">
        <v>127</v>
      </c>
      <c r="G665" s="5">
        <v>1020.064</v>
      </c>
    </row>
    <row r="666" spans="1:8">
      <c r="A666" s="4">
        <v>52</v>
      </c>
      <c r="B666" s="4" t="s">
        <v>7</v>
      </c>
      <c r="C666" s="4" t="s">
        <v>15</v>
      </c>
      <c r="D666" s="4" t="s">
        <v>12</v>
      </c>
      <c r="E666" s="4" t="s">
        <v>16</v>
      </c>
      <c r="F666" s="6">
        <v>135</v>
      </c>
      <c r="G666" s="6">
        <v>1053</v>
      </c>
    </row>
    <row r="667" spans="1:8">
      <c r="A667" s="4">
        <v>54</v>
      </c>
      <c r="B667" s="4" t="s">
        <v>7</v>
      </c>
      <c r="C667" s="4" t="s">
        <v>15</v>
      </c>
      <c r="D667" s="4" t="s">
        <v>12</v>
      </c>
      <c r="E667" s="4" t="s">
        <v>16</v>
      </c>
      <c r="F667" s="4">
        <v>136</v>
      </c>
      <c r="G667" s="5">
        <v>1024.08</v>
      </c>
    </row>
    <row r="668" spans="1:8">
      <c r="A668" s="4">
        <v>55</v>
      </c>
      <c r="B668" s="4" t="s">
        <v>7</v>
      </c>
      <c r="C668" s="4" t="s">
        <v>15</v>
      </c>
      <c r="D668" s="4" t="s">
        <v>12</v>
      </c>
      <c r="E668" s="4" t="s">
        <v>16</v>
      </c>
      <c r="F668" s="4">
        <v>143</v>
      </c>
      <c r="G668" s="5">
        <v>861.4319999999999</v>
      </c>
    </row>
    <row r="669" spans="1:8">
      <c r="A669" s="4">
        <v>59</v>
      </c>
      <c r="B669" s="4" t="s">
        <v>7</v>
      </c>
      <c r="C669" s="4" t="s">
        <v>15</v>
      </c>
      <c r="D669" s="4" t="s">
        <v>12</v>
      </c>
      <c r="E669" s="4" t="s">
        <v>16</v>
      </c>
      <c r="F669" s="4">
        <v>153</v>
      </c>
      <c r="G669" s="5">
        <v>1228.896</v>
      </c>
    </row>
    <row r="670" spans="1:8">
      <c r="A670" s="4">
        <v>60</v>
      </c>
      <c r="B670" s="4" t="s">
        <v>7</v>
      </c>
      <c r="C670" s="4" t="s">
        <v>15</v>
      </c>
      <c r="D670" s="4" t="s">
        <v>12</v>
      </c>
      <c r="E670" s="4" t="s">
        <v>16</v>
      </c>
      <c r="F670" s="6">
        <v>156</v>
      </c>
      <c r="G670" s="6">
        <v>1025</v>
      </c>
    </row>
    <row r="671" spans="1:8">
      <c r="A671" s="4">
        <v>63</v>
      </c>
      <c r="B671" s="4" t="s">
        <v>7</v>
      </c>
      <c r="C671" s="4" t="s">
        <v>15</v>
      </c>
      <c r="D671" s="4" t="s">
        <v>12</v>
      </c>
      <c r="E671" s="4" t="s">
        <v>16</v>
      </c>
      <c r="F671" s="4">
        <v>162</v>
      </c>
      <c r="G671" s="5">
        <v>1305</v>
      </c>
    </row>
    <row r="672" spans="1:8">
      <c r="A672" s="4">
        <v>64</v>
      </c>
      <c r="B672" s="4" t="s">
        <v>7</v>
      </c>
      <c r="C672" s="4" t="s">
        <v>15</v>
      </c>
      <c r="D672" s="4" t="s">
        <v>12</v>
      </c>
      <c r="E672" s="4" t="s">
        <v>16</v>
      </c>
      <c r="F672" s="4">
        <v>162</v>
      </c>
      <c r="G672" s="5">
        <v>1903.7602072538862</v>
      </c>
      <c r="H672" s="21" t="s">
        <v>31</v>
      </c>
    </row>
    <row r="673" spans="1:8">
      <c r="A673" s="4">
        <v>66</v>
      </c>
      <c r="B673" s="4" t="s">
        <v>7</v>
      </c>
      <c r="C673" s="4" t="s">
        <v>15</v>
      </c>
      <c r="D673" s="6" t="s">
        <v>9</v>
      </c>
      <c r="E673" s="4" t="s">
        <v>16</v>
      </c>
      <c r="F673" s="6">
        <v>174</v>
      </c>
      <c r="G673" s="6">
        <v>1876</v>
      </c>
      <c r="H673" s="21" t="s">
        <v>31</v>
      </c>
    </row>
    <row r="674" spans="1:8">
      <c r="A674" s="4">
        <v>67</v>
      </c>
      <c r="B674" s="4" t="s">
        <v>11</v>
      </c>
      <c r="C674" s="6" t="s">
        <v>8</v>
      </c>
      <c r="D674" s="6" t="s">
        <v>9</v>
      </c>
      <c r="E674" s="4" t="s">
        <v>16</v>
      </c>
      <c r="F674" s="6">
        <v>178</v>
      </c>
      <c r="G674" s="6">
        <v>290</v>
      </c>
    </row>
    <row r="675" spans="1:8">
      <c r="A675" s="4">
        <v>68</v>
      </c>
      <c r="B675" s="4" t="s">
        <v>7</v>
      </c>
      <c r="C675" s="4" t="s">
        <v>15</v>
      </c>
      <c r="D675" s="6" t="s">
        <v>9</v>
      </c>
      <c r="E675" s="4" t="s">
        <v>16</v>
      </c>
      <c r="F675" s="6">
        <v>179</v>
      </c>
      <c r="G675" s="6">
        <v>789</v>
      </c>
    </row>
    <row r="676" spans="1:8">
      <c r="A676" s="4">
        <v>71</v>
      </c>
      <c r="B676" s="4" t="s">
        <v>7</v>
      </c>
      <c r="C676" s="4" t="s">
        <v>15</v>
      </c>
      <c r="D676" s="6" t="s">
        <v>14</v>
      </c>
      <c r="E676" s="4" t="s">
        <v>16</v>
      </c>
      <c r="F676" s="6">
        <v>183</v>
      </c>
      <c r="G676" s="6">
        <v>460</v>
      </c>
    </row>
    <row r="677" spans="1:8">
      <c r="A677" s="4">
        <v>72</v>
      </c>
      <c r="B677" s="4" t="s">
        <v>7</v>
      </c>
      <c r="C677" s="4" t="s">
        <v>17</v>
      </c>
      <c r="D677" s="4" t="s">
        <v>12</v>
      </c>
      <c r="E677" s="4" t="s">
        <v>16</v>
      </c>
      <c r="F677" s="6">
        <v>189</v>
      </c>
      <c r="G677" s="6">
        <v>315</v>
      </c>
    </row>
    <row r="678" spans="1:8">
      <c r="A678" s="4">
        <v>73</v>
      </c>
      <c r="B678" s="4" t="s">
        <v>7</v>
      </c>
      <c r="C678" s="4" t="s">
        <v>15</v>
      </c>
      <c r="D678" s="4" t="s">
        <v>12</v>
      </c>
      <c r="E678" s="4" t="s">
        <v>16</v>
      </c>
      <c r="F678" s="4">
        <v>193</v>
      </c>
      <c r="G678" s="5">
        <v>734</v>
      </c>
    </row>
    <row r="679" spans="1:8">
      <c r="A679" s="4">
        <v>74</v>
      </c>
      <c r="B679" s="4" t="s">
        <v>7</v>
      </c>
      <c r="C679" s="4" t="s">
        <v>17</v>
      </c>
      <c r="D679" s="4" t="s">
        <v>12</v>
      </c>
      <c r="E679" s="4" t="s">
        <v>16</v>
      </c>
      <c r="F679" s="6">
        <v>195</v>
      </c>
      <c r="G679" s="6">
        <v>322</v>
      </c>
    </row>
    <row r="680" spans="1:8">
      <c r="A680" s="4">
        <v>75</v>
      </c>
      <c r="B680" s="4" t="s">
        <v>7</v>
      </c>
      <c r="C680" s="4" t="s">
        <v>15</v>
      </c>
      <c r="D680" s="4" t="s">
        <v>12</v>
      </c>
      <c r="E680" s="4" t="s">
        <v>16</v>
      </c>
      <c r="F680" s="4">
        <v>209</v>
      </c>
      <c r="G680" s="5">
        <v>1993.4419999999996</v>
      </c>
      <c r="H680" s="21" t="s">
        <v>31</v>
      </c>
    </row>
    <row r="683" spans="1:8" ht="32">
      <c r="A683" s="1" t="s">
        <v>0</v>
      </c>
      <c r="B683" s="8" t="s">
        <v>1</v>
      </c>
      <c r="C683" s="7" t="s">
        <v>2</v>
      </c>
      <c r="D683" s="7" t="s">
        <v>3</v>
      </c>
      <c r="E683" s="9" t="s">
        <v>4</v>
      </c>
      <c r="F683" s="2" t="s">
        <v>5</v>
      </c>
      <c r="G683" s="2" t="s">
        <v>6</v>
      </c>
    </row>
    <row r="684" spans="1:8">
      <c r="A684" s="4">
        <v>5</v>
      </c>
      <c r="B684" s="4" t="s">
        <v>7</v>
      </c>
      <c r="C684" s="4" t="s">
        <v>15</v>
      </c>
      <c r="D684" s="6" t="s">
        <v>9</v>
      </c>
      <c r="E684" s="4" t="s">
        <v>16</v>
      </c>
      <c r="F684" s="6">
        <v>46</v>
      </c>
      <c r="G684" s="6">
        <v>1009</v>
      </c>
    </row>
    <row r="685" spans="1:8">
      <c r="A685" s="4">
        <v>7</v>
      </c>
      <c r="B685" s="4" t="s">
        <v>7</v>
      </c>
      <c r="C685" s="4" t="s">
        <v>15</v>
      </c>
      <c r="D685" s="4" t="s">
        <v>12</v>
      </c>
      <c r="E685" s="4" t="s">
        <v>16</v>
      </c>
      <c r="F685" s="4">
        <v>52</v>
      </c>
      <c r="G685" s="5">
        <v>274.09199999999998</v>
      </c>
    </row>
    <row r="686" spans="1:8">
      <c r="A686" s="4">
        <v>8</v>
      </c>
      <c r="B686" s="4" t="s">
        <v>7</v>
      </c>
      <c r="C686" s="4" t="s">
        <v>15</v>
      </c>
      <c r="D686" s="4" t="s">
        <v>12</v>
      </c>
      <c r="E686" s="4" t="s">
        <v>16</v>
      </c>
      <c r="F686" s="4">
        <v>61</v>
      </c>
      <c r="G686" s="5">
        <v>336.84199999999998</v>
      </c>
    </row>
    <row r="687" spans="1:8">
      <c r="A687" s="4">
        <v>10</v>
      </c>
      <c r="B687" s="4" t="s">
        <v>7</v>
      </c>
      <c r="C687" s="4" t="s">
        <v>15</v>
      </c>
      <c r="D687" s="4" t="s">
        <v>12</v>
      </c>
      <c r="E687" s="4" t="s">
        <v>16</v>
      </c>
      <c r="F687" s="4">
        <v>68</v>
      </c>
      <c r="G687" s="5">
        <v>512.04</v>
      </c>
    </row>
    <row r="688" spans="1:8">
      <c r="A688" s="4">
        <v>12</v>
      </c>
      <c r="B688" s="4" t="s">
        <v>7</v>
      </c>
      <c r="C688" s="4" t="s">
        <v>15</v>
      </c>
      <c r="D688" s="4" t="s">
        <v>12</v>
      </c>
      <c r="E688" s="4" t="s">
        <v>16</v>
      </c>
      <c r="F688" s="4">
        <v>70</v>
      </c>
      <c r="G688" s="5">
        <v>379.512</v>
      </c>
    </row>
    <row r="689" spans="1:7">
      <c r="A689" s="4">
        <v>13</v>
      </c>
      <c r="B689" s="4" t="s">
        <v>7</v>
      </c>
      <c r="C689" s="4" t="s">
        <v>15</v>
      </c>
      <c r="D689" s="4" t="s">
        <v>12</v>
      </c>
      <c r="E689" s="4" t="s">
        <v>16</v>
      </c>
      <c r="F689" s="4">
        <v>72</v>
      </c>
      <c r="G689" s="5">
        <v>397.58399999999995</v>
      </c>
    </row>
    <row r="690" spans="1:7">
      <c r="A690" s="4">
        <v>14</v>
      </c>
      <c r="B690" s="4" t="s">
        <v>7</v>
      </c>
      <c r="C690" s="4" t="s">
        <v>15</v>
      </c>
      <c r="D690" s="4" t="s">
        <v>12</v>
      </c>
      <c r="E690" s="4" t="s">
        <v>16</v>
      </c>
      <c r="F690" s="4">
        <v>73</v>
      </c>
      <c r="G690" s="5">
        <v>659.62799999999993</v>
      </c>
    </row>
    <row r="691" spans="1:7">
      <c r="A691" s="4">
        <v>15</v>
      </c>
      <c r="B691" s="4" t="s">
        <v>7</v>
      </c>
      <c r="C691" s="4" t="s">
        <v>15</v>
      </c>
      <c r="D691" s="4" t="s">
        <v>12</v>
      </c>
      <c r="E691" s="4" t="s">
        <v>16</v>
      </c>
      <c r="F691" s="4">
        <v>74</v>
      </c>
      <c r="G691" s="5">
        <v>482.92399999999998</v>
      </c>
    </row>
    <row r="692" spans="1:7">
      <c r="A692" s="4">
        <v>17</v>
      </c>
      <c r="B692" s="4" t="s">
        <v>7</v>
      </c>
      <c r="C692" s="4" t="s">
        <v>17</v>
      </c>
      <c r="D692" s="6" t="s">
        <v>14</v>
      </c>
      <c r="E692" s="4" t="s">
        <v>16</v>
      </c>
      <c r="F692" s="6">
        <v>76</v>
      </c>
      <c r="G692" s="6">
        <v>1100</v>
      </c>
    </row>
    <row r="693" spans="1:7">
      <c r="A693" s="4">
        <v>19</v>
      </c>
      <c r="B693" s="4" t="s">
        <v>7</v>
      </c>
      <c r="C693" s="4" t="s">
        <v>15</v>
      </c>
      <c r="D693" s="4" t="s">
        <v>12</v>
      </c>
      <c r="E693" s="4" t="s">
        <v>16</v>
      </c>
      <c r="F693" s="4">
        <v>79</v>
      </c>
      <c r="G693" s="5">
        <v>475.89599999999996</v>
      </c>
    </row>
    <row r="694" spans="1:7">
      <c r="A694" s="4">
        <v>23</v>
      </c>
      <c r="B694" s="4" t="s">
        <v>7</v>
      </c>
      <c r="C694" s="4" t="s">
        <v>15</v>
      </c>
      <c r="D694" s="4" t="s">
        <v>12</v>
      </c>
      <c r="E694" s="4" t="s">
        <v>16</v>
      </c>
      <c r="F694" s="4">
        <v>81</v>
      </c>
      <c r="G694" s="5">
        <v>691.25399999999991</v>
      </c>
    </row>
    <row r="695" spans="1:7">
      <c r="A695" s="4">
        <v>24</v>
      </c>
      <c r="B695" s="4" t="s">
        <v>7</v>
      </c>
      <c r="C695" s="4" t="s">
        <v>15</v>
      </c>
      <c r="D695" s="4" t="s">
        <v>12</v>
      </c>
      <c r="E695" s="4" t="s">
        <v>16</v>
      </c>
      <c r="F695" s="4">
        <v>83</v>
      </c>
      <c r="G695" s="5">
        <v>466.6592</v>
      </c>
    </row>
    <row r="696" spans="1:7">
      <c r="A696" s="4">
        <v>25</v>
      </c>
      <c r="B696" s="4" t="s">
        <v>7</v>
      </c>
      <c r="C696" s="4" t="s">
        <v>15</v>
      </c>
      <c r="D696" s="6" t="s">
        <v>9</v>
      </c>
      <c r="E696" s="4" t="s">
        <v>16</v>
      </c>
      <c r="F696" s="6">
        <v>83</v>
      </c>
      <c r="G696" s="6">
        <v>855</v>
      </c>
    </row>
    <row r="697" spans="1:7">
      <c r="A697" s="4">
        <v>26</v>
      </c>
      <c r="B697" s="4" t="s">
        <v>7</v>
      </c>
      <c r="C697" s="4" t="s">
        <v>15</v>
      </c>
      <c r="D697" s="4" t="s">
        <v>12</v>
      </c>
      <c r="E697" s="4" t="s">
        <v>16</v>
      </c>
      <c r="F697" s="4">
        <v>84</v>
      </c>
      <c r="G697" s="5">
        <v>421.67999999999995</v>
      </c>
    </row>
    <row r="698" spans="1:7">
      <c r="A698" s="4">
        <v>27</v>
      </c>
      <c r="B698" s="4" t="s">
        <v>7</v>
      </c>
      <c r="C698" s="4" t="s">
        <v>15</v>
      </c>
      <c r="D698" s="4" t="s">
        <v>12</v>
      </c>
      <c r="E698" s="4" t="s">
        <v>16</v>
      </c>
      <c r="F698" s="4">
        <v>85</v>
      </c>
      <c r="G698" s="5">
        <v>725.39</v>
      </c>
    </row>
    <row r="699" spans="1:7">
      <c r="A699" s="4">
        <v>30</v>
      </c>
      <c r="B699" s="4" t="s">
        <v>7</v>
      </c>
      <c r="C699" s="4" t="s">
        <v>15</v>
      </c>
      <c r="D699" s="4" t="s">
        <v>12</v>
      </c>
      <c r="E699" s="4" t="s">
        <v>16</v>
      </c>
      <c r="F699" s="4">
        <v>90</v>
      </c>
      <c r="G699" s="5">
        <v>406.61999999999995</v>
      </c>
    </row>
    <row r="700" spans="1:7">
      <c r="A700" s="4">
        <v>32</v>
      </c>
      <c r="B700" s="4" t="s">
        <v>7</v>
      </c>
      <c r="C700" s="4" t="s">
        <v>15</v>
      </c>
      <c r="D700" s="4" t="s">
        <v>12</v>
      </c>
      <c r="E700" s="4" t="s">
        <v>16</v>
      </c>
      <c r="F700" s="4">
        <v>92</v>
      </c>
      <c r="G700" s="5">
        <v>831.31200000000001</v>
      </c>
    </row>
    <row r="701" spans="1:7">
      <c r="A701" s="4">
        <v>33</v>
      </c>
      <c r="B701" s="4" t="s">
        <v>7</v>
      </c>
      <c r="C701" s="4" t="s">
        <v>15</v>
      </c>
      <c r="D701" s="4" t="s">
        <v>12</v>
      </c>
      <c r="E701" s="4" t="s">
        <v>16</v>
      </c>
      <c r="F701" s="4">
        <v>100</v>
      </c>
      <c r="G701" s="5">
        <v>702.79999999999984</v>
      </c>
    </row>
    <row r="702" spans="1:7">
      <c r="A702" s="4">
        <v>35</v>
      </c>
      <c r="B702" s="4" t="s">
        <v>7</v>
      </c>
      <c r="C702" s="4" t="s">
        <v>15</v>
      </c>
      <c r="D702" s="4" t="s">
        <v>12</v>
      </c>
      <c r="E702" s="4" t="s">
        <v>16</v>
      </c>
      <c r="F702" s="4">
        <v>102</v>
      </c>
      <c r="G702" s="5">
        <v>921.67199999999991</v>
      </c>
    </row>
    <row r="703" spans="1:7">
      <c r="A703" s="4">
        <v>37</v>
      </c>
      <c r="B703" s="4" t="s">
        <v>7</v>
      </c>
      <c r="C703" s="4" t="s">
        <v>15</v>
      </c>
      <c r="D703" s="4" t="s">
        <v>12</v>
      </c>
      <c r="E703" s="4" t="s">
        <v>16</v>
      </c>
      <c r="F703" s="4">
        <v>108</v>
      </c>
      <c r="G703" s="5">
        <v>650.59199999999998</v>
      </c>
    </row>
    <row r="704" spans="1:7">
      <c r="A704" s="4">
        <v>38</v>
      </c>
      <c r="B704" s="4" t="s">
        <v>7</v>
      </c>
      <c r="C704" s="4" t="s">
        <v>17</v>
      </c>
      <c r="D704" s="6" t="s">
        <v>14</v>
      </c>
      <c r="E704" s="4" t="s">
        <v>16</v>
      </c>
      <c r="F704" s="6">
        <v>108</v>
      </c>
      <c r="G704" s="6">
        <v>1276</v>
      </c>
    </row>
    <row r="705" spans="1:7">
      <c r="A705" s="4">
        <v>39</v>
      </c>
      <c r="B705" s="4" t="s">
        <v>7</v>
      </c>
      <c r="C705" s="4" t="s">
        <v>17</v>
      </c>
      <c r="D705" s="4" t="s">
        <v>12</v>
      </c>
      <c r="E705" s="4" t="s">
        <v>16</v>
      </c>
      <c r="F705" s="6">
        <v>110</v>
      </c>
      <c r="G705" s="6">
        <v>884</v>
      </c>
    </row>
    <row r="706" spans="1:7">
      <c r="A706" s="4">
        <v>40</v>
      </c>
      <c r="B706" s="4" t="s">
        <v>7</v>
      </c>
      <c r="C706" s="4" t="s">
        <v>15</v>
      </c>
      <c r="D706" s="4" t="s">
        <v>12</v>
      </c>
      <c r="E706" s="4" t="s">
        <v>16</v>
      </c>
      <c r="F706" s="4">
        <v>114</v>
      </c>
      <c r="G706" s="5">
        <v>502</v>
      </c>
    </row>
    <row r="707" spans="1:7">
      <c r="A707" s="4">
        <v>42</v>
      </c>
      <c r="B707" s="4" t="s">
        <v>11</v>
      </c>
      <c r="C707" s="6" t="s">
        <v>8</v>
      </c>
      <c r="D707" s="6" t="s">
        <v>9</v>
      </c>
      <c r="E707" s="4" t="s">
        <v>16</v>
      </c>
      <c r="F707" s="6">
        <v>115</v>
      </c>
      <c r="G707" s="6">
        <v>285</v>
      </c>
    </row>
    <row r="708" spans="1:7">
      <c r="A708" s="4">
        <v>43</v>
      </c>
      <c r="B708" s="4" t="s">
        <v>7</v>
      </c>
      <c r="C708" s="4" t="s">
        <v>15</v>
      </c>
      <c r="D708" s="4" t="s">
        <v>12</v>
      </c>
      <c r="E708" s="4" t="s">
        <v>16</v>
      </c>
      <c r="F708" s="4">
        <v>115</v>
      </c>
      <c r="G708" s="5">
        <v>692.75999999999988</v>
      </c>
    </row>
    <row r="709" spans="1:7">
      <c r="A709" s="4">
        <v>45</v>
      </c>
      <c r="B709" s="4" t="s">
        <v>7</v>
      </c>
      <c r="C709" s="4" t="s">
        <v>15</v>
      </c>
      <c r="D709" s="4" t="s">
        <v>12</v>
      </c>
      <c r="E709" s="4" t="s">
        <v>16</v>
      </c>
      <c r="F709" s="4">
        <v>117</v>
      </c>
      <c r="G709" s="5">
        <v>728.30159999999989</v>
      </c>
    </row>
    <row r="710" spans="1:7">
      <c r="A710" s="4">
        <v>46</v>
      </c>
      <c r="B710" s="4" t="s">
        <v>7</v>
      </c>
      <c r="C710" s="4" t="s">
        <v>15</v>
      </c>
      <c r="D710" s="4" t="s">
        <v>12</v>
      </c>
      <c r="E710" s="4" t="s">
        <v>16</v>
      </c>
      <c r="F710" s="4">
        <v>117</v>
      </c>
      <c r="G710" s="5">
        <v>998.47799999999984</v>
      </c>
    </row>
    <row r="711" spans="1:7">
      <c r="A711" s="4">
        <v>48</v>
      </c>
      <c r="B711" s="4" t="s">
        <v>7</v>
      </c>
      <c r="C711" s="4" t="s">
        <v>17</v>
      </c>
      <c r="D711" s="4" t="s">
        <v>12</v>
      </c>
      <c r="E711" s="4" t="s">
        <v>16</v>
      </c>
      <c r="F711" s="6">
        <v>122</v>
      </c>
      <c r="G711" s="6">
        <v>1045</v>
      </c>
    </row>
    <row r="712" spans="1:7">
      <c r="A712" s="4">
        <v>49</v>
      </c>
      <c r="B712" s="4" t="s">
        <v>7</v>
      </c>
      <c r="C712" s="4" t="s">
        <v>15</v>
      </c>
      <c r="D712" s="4" t="s">
        <v>12</v>
      </c>
      <c r="E712" s="4" t="s">
        <v>16</v>
      </c>
      <c r="F712" s="4">
        <v>125</v>
      </c>
      <c r="G712" s="5">
        <v>1004</v>
      </c>
    </row>
    <row r="713" spans="1:7">
      <c r="A713" s="4">
        <v>51</v>
      </c>
      <c r="B713" s="4" t="s">
        <v>7</v>
      </c>
      <c r="C713" s="4" t="s">
        <v>15</v>
      </c>
      <c r="D713" s="4" t="s">
        <v>12</v>
      </c>
      <c r="E713" s="4" t="s">
        <v>16</v>
      </c>
      <c r="F713" s="4">
        <v>127</v>
      </c>
      <c r="G713" s="5">
        <v>1020.064</v>
      </c>
    </row>
    <row r="714" spans="1:7">
      <c r="A714" s="4">
        <v>52</v>
      </c>
      <c r="B714" s="4" t="s">
        <v>7</v>
      </c>
      <c r="C714" s="4" t="s">
        <v>15</v>
      </c>
      <c r="D714" s="4" t="s">
        <v>12</v>
      </c>
      <c r="E714" s="4" t="s">
        <v>16</v>
      </c>
      <c r="F714" s="6">
        <v>135</v>
      </c>
      <c r="G714" s="6">
        <v>1053</v>
      </c>
    </row>
    <row r="715" spans="1:7">
      <c r="A715" s="4">
        <v>54</v>
      </c>
      <c r="B715" s="4" t="s">
        <v>7</v>
      </c>
      <c r="C715" s="4" t="s">
        <v>15</v>
      </c>
      <c r="D715" s="4" t="s">
        <v>12</v>
      </c>
      <c r="E715" s="4" t="s">
        <v>16</v>
      </c>
      <c r="F715" s="4">
        <v>136</v>
      </c>
      <c r="G715" s="5">
        <v>1024.08</v>
      </c>
    </row>
    <row r="716" spans="1:7">
      <c r="A716" s="4">
        <v>55</v>
      </c>
      <c r="B716" s="4" t="s">
        <v>7</v>
      </c>
      <c r="C716" s="4" t="s">
        <v>15</v>
      </c>
      <c r="D716" s="4" t="s">
        <v>12</v>
      </c>
      <c r="E716" s="4" t="s">
        <v>16</v>
      </c>
      <c r="F716" s="4">
        <v>143</v>
      </c>
      <c r="G716" s="5">
        <v>861.4319999999999</v>
      </c>
    </row>
    <row r="717" spans="1:7">
      <c r="A717" s="4">
        <v>59</v>
      </c>
      <c r="B717" s="4" t="s">
        <v>7</v>
      </c>
      <c r="C717" s="4" t="s">
        <v>15</v>
      </c>
      <c r="D717" s="4" t="s">
        <v>12</v>
      </c>
      <c r="E717" s="4" t="s">
        <v>16</v>
      </c>
      <c r="F717" s="4">
        <v>153</v>
      </c>
      <c r="G717" s="5">
        <v>1228.896</v>
      </c>
    </row>
    <row r="718" spans="1:7">
      <c r="A718" s="4">
        <v>60</v>
      </c>
      <c r="B718" s="4" t="s">
        <v>7</v>
      </c>
      <c r="C718" s="4" t="s">
        <v>15</v>
      </c>
      <c r="D718" s="4" t="s">
        <v>12</v>
      </c>
      <c r="E718" s="4" t="s">
        <v>16</v>
      </c>
      <c r="F718" s="6">
        <v>156</v>
      </c>
      <c r="G718" s="6">
        <v>1025</v>
      </c>
    </row>
    <row r="719" spans="1:7">
      <c r="A719" s="4">
        <v>63</v>
      </c>
      <c r="B719" s="4" t="s">
        <v>7</v>
      </c>
      <c r="C719" s="4" t="s">
        <v>15</v>
      </c>
      <c r="D719" s="4" t="s">
        <v>12</v>
      </c>
      <c r="E719" s="4" t="s">
        <v>16</v>
      </c>
      <c r="F719" s="4">
        <v>162</v>
      </c>
      <c r="G719" s="5">
        <v>1305</v>
      </c>
    </row>
    <row r="720" spans="1:7">
      <c r="A720" s="4">
        <v>67</v>
      </c>
      <c r="B720" s="4" t="s">
        <v>11</v>
      </c>
      <c r="C720" s="6" t="s">
        <v>8</v>
      </c>
      <c r="D720" s="6" t="s">
        <v>9</v>
      </c>
      <c r="E720" s="4" t="s">
        <v>16</v>
      </c>
      <c r="F720" s="6">
        <v>178</v>
      </c>
      <c r="G720" s="6">
        <v>290</v>
      </c>
    </row>
    <row r="721" spans="1:7">
      <c r="A721" s="4">
        <v>68</v>
      </c>
      <c r="B721" s="4" t="s">
        <v>7</v>
      </c>
      <c r="C721" s="4" t="s">
        <v>15</v>
      </c>
      <c r="D721" s="6" t="s">
        <v>9</v>
      </c>
      <c r="E721" s="4" t="s">
        <v>16</v>
      </c>
      <c r="F721" s="6">
        <v>179</v>
      </c>
      <c r="G721" s="6">
        <v>789</v>
      </c>
    </row>
    <row r="722" spans="1:7">
      <c r="A722" s="4">
        <v>71</v>
      </c>
      <c r="B722" s="4" t="s">
        <v>7</v>
      </c>
      <c r="C722" s="4" t="s">
        <v>15</v>
      </c>
      <c r="D722" s="6" t="s">
        <v>14</v>
      </c>
      <c r="E722" s="4" t="s">
        <v>16</v>
      </c>
      <c r="F722" s="6">
        <v>183</v>
      </c>
      <c r="G722" s="6">
        <v>460</v>
      </c>
    </row>
    <row r="723" spans="1:7">
      <c r="A723" s="4">
        <v>72</v>
      </c>
      <c r="B723" s="4" t="s">
        <v>7</v>
      </c>
      <c r="C723" s="4" t="s">
        <v>17</v>
      </c>
      <c r="D723" s="4" t="s">
        <v>12</v>
      </c>
      <c r="E723" s="4" t="s">
        <v>16</v>
      </c>
      <c r="F723" s="6">
        <v>189</v>
      </c>
      <c r="G723" s="6">
        <v>315</v>
      </c>
    </row>
    <row r="724" spans="1:7">
      <c r="A724" s="4">
        <v>73</v>
      </c>
      <c r="B724" s="4" t="s">
        <v>7</v>
      </c>
      <c r="C724" s="4" t="s">
        <v>15</v>
      </c>
      <c r="D724" s="4" t="s">
        <v>12</v>
      </c>
      <c r="E724" s="4" t="s">
        <v>16</v>
      </c>
      <c r="F724" s="4">
        <v>193</v>
      </c>
      <c r="G724" s="5">
        <v>734</v>
      </c>
    </row>
    <row r="725" spans="1:7">
      <c r="A725" s="4">
        <v>74</v>
      </c>
      <c r="B725" s="4" t="s">
        <v>7</v>
      </c>
      <c r="C725" s="4" t="s">
        <v>17</v>
      </c>
      <c r="D725" s="4" t="s">
        <v>12</v>
      </c>
      <c r="E725" s="4" t="s">
        <v>16</v>
      </c>
      <c r="F725" s="6">
        <v>195</v>
      </c>
      <c r="G725" s="6">
        <v>322</v>
      </c>
    </row>
    <row r="728" spans="1:7">
      <c r="A728" t="s">
        <v>28</v>
      </c>
    </row>
    <row r="729" spans="1:7" ht="20">
      <c r="A729" s="10" t="s">
        <v>33</v>
      </c>
      <c r="D729" s="10" t="s">
        <v>33</v>
      </c>
    </row>
    <row r="730" spans="1:7" ht="20">
      <c r="A730" s="33">
        <v>42</v>
      </c>
      <c r="D730" s="33">
        <v>42</v>
      </c>
    </row>
    <row r="731" spans="1:7" ht="20">
      <c r="A731" s="10" t="s">
        <v>45</v>
      </c>
      <c r="D731" s="10" t="s">
        <v>45</v>
      </c>
    </row>
    <row r="732" spans="1:7" ht="20">
      <c r="A732" s="10">
        <v>1</v>
      </c>
      <c r="D732" s="10">
        <v>1</v>
      </c>
    </row>
    <row r="733" spans="1:7" ht="20">
      <c r="A733" s="10" t="s">
        <v>34</v>
      </c>
      <c r="D733" s="10" t="s">
        <v>34</v>
      </c>
    </row>
    <row r="734" spans="1:7" ht="20">
      <c r="A734" s="10" t="s">
        <v>0</v>
      </c>
      <c r="D734" s="10" t="s">
        <v>0</v>
      </c>
    </row>
    <row r="737" spans="1:1">
      <c r="A737" t="s">
        <v>50</v>
      </c>
    </row>
    <row r="752" spans="1:1" ht="20">
      <c r="A752" s="13" t="s">
        <v>36</v>
      </c>
    </row>
    <row r="753" spans="1:11" ht="17">
      <c r="A753" s="14" t="s">
        <v>37</v>
      </c>
    </row>
    <row r="754" spans="1:11" ht="17">
      <c r="A754" s="15">
        <v>0</v>
      </c>
    </row>
    <row r="756" spans="1:11" ht="20">
      <c r="A756" s="13" t="s">
        <v>38</v>
      </c>
    </row>
    <row r="757" spans="1:11" ht="17">
      <c r="A757" s="14" t="s">
        <v>56</v>
      </c>
    </row>
    <row r="759" spans="1:11">
      <c r="A759" t="s">
        <v>40</v>
      </c>
    </row>
    <row r="760" spans="1:11" ht="32">
      <c r="A760" s="1" t="s">
        <v>0</v>
      </c>
      <c r="B760" s="8" t="s">
        <v>1</v>
      </c>
      <c r="C760" s="7" t="s">
        <v>2</v>
      </c>
      <c r="D760" s="7" t="s">
        <v>3</v>
      </c>
      <c r="E760" s="9" t="s">
        <v>4</v>
      </c>
      <c r="F760" s="2" t="s">
        <v>5</v>
      </c>
      <c r="G760" s="2" t="s">
        <v>6</v>
      </c>
      <c r="H760" s="2" t="s">
        <v>41</v>
      </c>
      <c r="I760" s="2" t="s">
        <v>42</v>
      </c>
      <c r="J760" s="2" t="s">
        <v>43</v>
      </c>
      <c r="K760" s="2" t="s">
        <v>40</v>
      </c>
    </row>
    <row r="761" spans="1:11">
      <c r="A761" s="4">
        <v>5</v>
      </c>
      <c r="B761" s="4" t="s">
        <v>7</v>
      </c>
      <c r="C761" s="4" t="s">
        <v>15</v>
      </c>
      <c r="D761" s="6" t="s">
        <v>9</v>
      </c>
      <c r="E761" s="4" t="s">
        <v>16</v>
      </c>
      <c r="F761" s="6">
        <v>46</v>
      </c>
      <c r="G761" s="6">
        <v>1009</v>
      </c>
      <c r="H761" s="17">
        <f>600.4+1.038*F761</f>
        <v>648.14800000000002</v>
      </c>
      <c r="I761" s="18">
        <f>(H761-G761)/G761</f>
        <v>-0.35763330029732404</v>
      </c>
      <c r="J761" s="18">
        <f>ABS(I761)</f>
        <v>0.35763330029732404</v>
      </c>
      <c r="K761" s="18">
        <f>AVERAGE(J761:J802)</f>
        <v>0.46119598305699083</v>
      </c>
    </row>
    <row r="762" spans="1:11">
      <c r="A762" s="4">
        <v>7</v>
      </c>
      <c r="B762" s="4" t="s">
        <v>7</v>
      </c>
      <c r="C762" s="4" t="s">
        <v>15</v>
      </c>
      <c r="D762" s="4" t="s">
        <v>12</v>
      </c>
      <c r="E762" s="4" t="s">
        <v>16</v>
      </c>
      <c r="F762" s="4">
        <v>52</v>
      </c>
      <c r="G762" s="5">
        <v>274.09199999999998</v>
      </c>
      <c r="H762" s="17">
        <f t="shared" ref="H762:H802" si="0">600.4+1.038*F762</f>
        <v>654.37599999999998</v>
      </c>
      <c r="I762" s="18">
        <f t="shared" ref="I762:I769" si="1">(H762-G762)/G762</f>
        <v>1.3874319571530727</v>
      </c>
      <c r="J762" s="18">
        <f t="shared" ref="J762:J769" si="2">ABS(I762)</f>
        <v>1.3874319571530727</v>
      </c>
      <c r="K762" s="11"/>
    </row>
    <row r="763" spans="1:11">
      <c r="A763" s="4">
        <v>8</v>
      </c>
      <c r="B763" s="4" t="s">
        <v>7</v>
      </c>
      <c r="C763" s="4" t="s">
        <v>15</v>
      </c>
      <c r="D763" s="4" t="s">
        <v>12</v>
      </c>
      <c r="E763" s="4" t="s">
        <v>16</v>
      </c>
      <c r="F763" s="4">
        <v>61</v>
      </c>
      <c r="G763" s="5">
        <v>336.84199999999998</v>
      </c>
      <c r="H763" s="17">
        <f t="shared" si="0"/>
        <v>663.71799999999996</v>
      </c>
      <c r="I763" s="18">
        <f t="shared" si="1"/>
        <v>0.9704134282541963</v>
      </c>
      <c r="J763" s="18">
        <f t="shared" si="2"/>
        <v>0.9704134282541963</v>
      </c>
      <c r="K763" s="11"/>
    </row>
    <row r="764" spans="1:11">
      <c r="A764" s="4">
        <v>10</v>
      </c>
      <c r="B764" s="4" t="s">
        <v>7</v>
      </c>
      <c r="C764" s="4" t="s">
        <v>15</v>
      </c>
      <c r="D764" s="4" t="s">
        <v>12</v>
      </c>
      <c r="E764" s="4" t="s">
        <v>16</v>
      </c>
      <c r="F764" s="4">
        <v>68</v>
      </c>
      <c r="G764" s="5">
        <v>512.04</v>
      </c>
      <c r="H764" s="17">
        <f t="shared" si="0"/>
        <v>670.98399999999992</v>
      </c>
      <c r="I764" s="18">
        <f t="shared" si="1"/>
        <v>0.31041324896492456</v>
      </c>
      <c r="J764" s="18">
        <f t="shared" si="2"/>
        <v>0.31041324896492456</v>
      </c>
      <c r="K764" s="11"/>
    </row>
    <row r="765" spans="1:11">
      <c r="A765" s="4">
        <v>12</v>
      </c>
      <c r="B765" s="4" t="s">
        <v>7</v>
      </c>
      <c r="C765" s="4" t="s">
        <v>15</v>
      </c>
      <c r="D765" s="4" t="s">
        <v>12</v>
      </c>
      <c r="E765" s="4" t="s">
        <v>16</v>
      </c>
      <c r="F765" s="4">
        <v>70</v>
      </c>
      <c r="G765" s="5">
        <v>379.512</v>
      </c>
      <c r="H765" s="17">
        <f t="shared" si="0"/>
        <v>673.06</v>
      </c>
      <c r="I765" s="18">
        <f t="shared" si="1"/>
        <v>0.773488058348616</v>
      </c>
      <c r="J765" s="18">
        <f t="shared" si="2"/>
        <v>0.773488058348616</v>
      </c>
      <c r="K765" s="11"/>
    </row>
    <row r="766" spans="1:11">
      <c r="A766" s="4">
        <v>13</v>
      </c>
      <c r="B766" s="4" t="s">
        <v>7</v>
      </c>
      <c r="C766" s="4" t="s">
        <v>15</v>
      </c>
      <c r="D766" s="4" t="s">
        <v>12</v>
      </c>
      <c r="E766" s="4" t="s">
        <v>16</v>
      </c>
      <c r="F766" s="4">
        <v>72</v>
      </c>
      <c r="G766" s="5">
        <v>397.58399999999995</v>
      </c>
      <c r="H766" s="17">
        <f t="shared" si="0"/>
        <v>675.13599999999997</v>
      </c>
      <c r="I766" s="18">
        <f t="shared" si="1"/>
        <v>0.69809650287737957</v>
      </c>
      <c r="J766" s="18">
        <f t="shared" si="2"/>
        <v>0.69809650287737957</v>
      </c>
      <c r="K766" s="11"/>
    </row>
    <row r="767" spans="1:11">
      <c r="A767" s="4">
        <v>14</v>
      </c>
      <c r="B767" s="4" t="s">
        <v>7</v>
      </c>
      <c r="C767" s="4" t="s">
        <v>15</v>
      </c>
      <c r="D767" s="4" t="s">
        <v>12</v>
      </c>
      <c r="E767" s="4" t="s">
        <v>16</v>
      </c>
      <c r="F767" s="4">
        <v>73</v>
      </c>
      <c r="G767" s="5">
        <v>659.62799999999993</v>
      </c>
      <c r="H767" s="17">
        <f t="shared" si="0"/>
        <v>676.17399999999998</v>
      </c>
      <c r="I767" s="18">
        <f t="shared" si="1"/>
        <v>2.5083835131316515E-2</v>
      </c>
      <c r="J767" s="18">
        <f t="shared" si="2"/>
        <v>2.5083835131316515E-2</v>
      </c>
      <c r="K767" s="11"/>
    </row>
    <row r="768" spans="1:11">
      <c r="A768" s="4">
        <v>15</v>
      </c>
      <c r="B768" s="4" t="s">
        <v>7</v>
      </c>
      <c r="C768" s="4" t="s">
        <v>15</v>
      </c>
      <c r="D768" s="4" t="s">
        <v>12</v>
      </c>
      <c r="E768" s="4" t="s">
        <v>16</v>
      </c>
      <c r="F768" s="4">
        <v>74</v>
      </c>
      <c r="G768" s="5">
        <v>482.92399999999998</v>
      </c>
      <c r="H768" s="17">
        <f t="shared" si="0"/>
        <v>677.21199999999999</v>
      </c>
      <c r="I768" s="18">
        <f t="shared" si="1"/>
        <v>0.40231589235573301</v>
      </c>
      <c r="J768" s="18">
        <f t="shared" si="2"/>
        <v>0.40231589235573301</v>
      </c>
      <c r="K768" s="11"/>
    </row>
    <row r="769" spans="1:11">
      <c r="A769" s="4">
        <v>17</v>
      </c>
      <c r="B769" s="4" t="s">
        <v>7</v>
      </c>
      <c r="C769" s="4" t="s">
        <v>17</v>
      </c>
      <c r="D769" s="6" t="s">
        <v>14</v>
      </c>
      <c r="E769" s="4" t="s">
        <v>16</v>
      </c>
      <c r="F769" s="6">
        <v>76</v>
      </c>
      <c r="G769" s="6">
        <v>1100</v>
      </c>
      <c r="H769" s="17">
        <f t="shared" si="0"/>
        <v>679.28800000000001</v>
      </c>
      <c r="I769" s="18">
        <f t="shared" si="1"/>
        <v>-0.38246545454545455</v>
      </c>
      <c r="J769" s="18">
        <f t="shared" si="2"/>
        <v>0.38246545454545455</v>
      </c>
      <c r="K769" s="11"/>
    </row>
    <row r="770" spans="1:11">
      <c r="A770" s="4">
        <v>19</v>
      </c>
      <c r="B770" s="4" t="s">
        <v>7</v>
      </c>
      <c r="C770" s="4" t="s">
        <v>15</v>
      </c>
      <c r="D770" s="4" t="s">
        <v>12</v>
      </c>
      <c r="E770" s="4" t="s">
        <v>16</v>
      </c>
      <c r="F770" s="4">
        <v>79</v>
      </c>
      <c r="G770" s="5">
        <v>475.89599999999996</v>
      </c>
      <c r="H770" s="17">
        <f t="shared" si="0"/>
        <v>682.40200000000004</v>
      </c>
      <c r="I770" s="18">
        <f t="shared" ref="I770:I802" si="3">(H770-G770)/G770</f>
        <v>0.43393094289508655</v>
      </c>
      <c r="J770" s="18">
        <f t="shared" ref="J770:J802" si="4">ABS(I770)</f>
        <v>0.43393094289508655</v>
      </c>
      <c r="K770" s="11"/>
    </row>
    <row r="771" spans="1:11">
      <c r="A771" s="4">
        <v>23</v>
      </c>
      <c r="B771" s="4" t="s">
        <v>7</v>
      </c>
      <c r="C771" s="4" t="s">
        <v>15</v>
      </c>
      <c r="D771" s="4" t="s">
        <v>12</v>
      </c>
      <c r="E771" s="4" t="s">
        <v>16</v>
      </c>
      <c r="F771" s="4">
        <v>81</v>
      </c>
      <c r="G771" s="5">
        <v>691.25399999999991</v>
      </c>
      <c r="H771" s="17">
        <f t="shared" si="0"/>
        <v>684.47799999999995</v>
      </c>
      <c r="I771" s="18">
        <f t="shared" si="3"/>
        <v>-9.8024749223873629E-3</v>
      </c>
      <c r="J771" s="18">
        <f t="shared" si="4"/>
        <v>9.8024749223873629E-3</v>
      </c>
      <c r="K771" s="11"/>
    </row>
    <row r="772" spans="1:11">
      <c r="A772" s="4">
        <v>24</v>
      </c>
      <c r="B772" s="4" t="s">
        <v>7</v>
      </c>
      <c r="C772" s="4" t="s">
        <v>15</v>
      </c>
      <c r="D772" s="4" t="s">
        <v>12</v>
      </c>
      <c r="E772" s="4" t="s">
        <v>16</v>
      </c>
      <c r="F772" s="4">
        <v>83</v>
      </c>
      <c r="G772" s="5">
        <v>466.6592</v>
      </c>
      <c r="H772" s="17">
        <f t="shared" si="0"/>
        <v>686.55399999999997</v>
      </c>
      <c r="I772" s="18">
        <f t="shared" si="3"/>
        <v>0.47121068222805845</v>
      </c>
      <c r="J772" s="18">
        <f t="shared" si="4"/>
        <v>0.47121068222805845</v>
      </c>
      <c r="K772" s="11"/>
    </row>
    <row r="773" spans="1:11">
      <c r="A773" s="4">
        <v>25</v>
      </c>
      <c r="B773" s="4" t="s">
        <v>7</v>
      </c>
      <c r="C773" s="4" t="s">
        <v>15</v>
      </c>
      <c r="D773" s="6" t="s">
        <v>9</v>
      </c>
      <c r="E773" s="4" t="s">
        <v>16</v>
      </c>
      <c r="F773" s="6">
        <v>83</v>
      </c>
      <c r="G773" s="6">
        <v>855</v>
      </c>
      <c r="H773" s="17">
        <f t="shared" si="0"/>
        <v>686.55399999999997</v>
      </c>
      <c r="I773" s="18">
        <f t="shared" si="3"/>
        <v>-0.19701286549707606</v>
      </c>
      <c r="J773" s="18">
        <f t="shared" si="4"/>
        <v>0.19701286549707606</v>
      </c>
      <c r="K773" s="11"/>
    </row>
    <row r="774" spans="1:11">
      <c r="A774" s="4">
        <v>26</v>
      </c>
      <c r="B774" s="4" t="s">
        <v>7</v>
      </c>
      <c r="C774" s="4" t="s">
        <v>15</v>
      </c>
      <c r="D774" s="4" t="s">
        <v>12</v>
      </c>
      <c r="E774" s="4" t="s">
        <v>16</v>
      </c>
      <c r="F774" s="4">
        <v>84</v>
      </c>
      <c r="G774" s="5">
        <v>421.67999999999995</v>
      </c>
      <c r="H774" s="17">
        <f t="shared" si="0"/>
        <v>687.59199999999998</v>
      </c>
      <c r="I774" s="18">
        <f t="shared" si="3"/>
        <v>0.63060140390817698</v>
      </c>
      <c r="J774" s="18">
        <f t="shared" si="4"/>
        <v>0.63060140390817698</v>
      </c>
      <c r="K774" s="11"/>
    </row>
    <row r="775" spans="1:11">
      <c r="A775" s="4">
        <v>27</v>
      </c>
      <c r="B775" s="4" t="s">
        <v>7</v>
      </c>
      <c r="C775" s="4" t="s">
        <v>15</v>
      </c>
      <c r="D775" s="4" t="s">
        <v>12</v>
      </c>
      <c r="E775" s="4" t="s">
        <v>16</v>
      </c>
      <c r="F775" s="4">
        <v>85</v>
      </c>
      <c r="G775" s="5">
        <v>725.39</v>
      </c>
      <c r="H775" s="17">
        <f t="shared" si="0"/>
        <v>688.63</v>
      </c>
      <c r="I775" s="18">
        <f t="shared" si="3"/>
        <v>-5.0676187981637449E-2</v>
      </c>
      <c r="J775" s="18">
        <f t="shared" si="4"/>
        <v>5.0676187981637449E-2</v>
      </c>
      <c r="K775" s="11"/>
    </row>
    <row r="776" spans="1:11">
      <c r="A776" s="4">
        <v>30</v>
      </c>
      <c r="B776" s="4" t="s">
        <v>7</v>
      </c>
      <c r="C776" s="4" t="s">
        <v>15</v>
      </c>
      <c r="D776" s="4" t="s">
        <v>12</v>
      </c>
      <c r="E776" s="4" t="s">
        <v>16</v>
      </c>
      <c r="F776" s="4">
        <v>90</v>
      </c>
      <c r="G776" s="5">
        <v>406.61999999999995</v>
      </c>
      <c r="H776" s="17">
        <f t="shared" si="0"/>
        <v>693.81999999999994</v>
      </c>
      <c r="I776" s="18">
        <f t="shared" si="3"/>
        <v>0.70631056022822303</v>
      </c>
      <c r="J776" s="18">
        <f t="shared" si="4"/>
        <v>0.70631056022822303</v>
      </c>
      <c r="K776" s="11"/>
    </row>
    <row r="777" spans="1:11">
      <c r="A777" s="4">
        <v>32</v>
      </c>
      <c r="B777" s="4" t="s">
        <v>7</v>
      </c>
      <c r="C777" s="4" t="s">
        <v>15</v>
      </c>
      <c r="D777" s="4" t="s">
        <v>12</v>
      </c>
      <c r="E777" s="4" t="s">
        <v>16</v>
      </c>
      <c r="F777" s="4">
        <v>92</v>
      </c>
      <c r="G777" s="5">
        <v>831.31200000000001</v>
      </c>
      <c r="H777" s="17">
        <f t="shared" si="0"/>
        <v>695.89599999999996</v>
      </c>
      <c r="I777" s="18">
        <f t="shared" si="3"/>
        <v>-0.16289431645399086</v>
      </c>
      <c r="J777" s="18">
        <f t="shared" si="4"/>
        <v>0.16289431645399086</v>
      </c>
      <c r="K777" s="11"/>
    </row>
    <row r="778" spans="1:11">
      <c r="A778" s="4">
        <v>33</v>
      </c>
      <c r="B778" s="4" t="s">
        <v>7</v>
      </c>
      <c r="C778" s="4" t="s">
        <v>15</v>
      </c>
      <c r="D778" s="4" t="s">
        <v>12</v>
      </c>
      <c r="E778" s="4" t="s">
        <v>16</v>
      </c>
      <c r="F778" s="4">
        <v>100</v>
      </c>
      <c r="G778" s="5">
        <v>702.79999999999984</v>
      </c>
      <c r="H778" s="17">
        <f t="shared" si="0"/>
        <v>704.19999999999993</v>
      </c>
      <c r="I778" s="18">
        <f t="shared" si="3"/>
        <v>1.9920318725100902E-3</v>
      </c>
      <c r="J778" s="18">
        <f t="shared" si="4"/>
        <v>1.9920318725100902E-3</v>
      </c>
      <c r="K778" s="11"/>
    </row>
    <row r="779" spans="1:11">
      <c r="A779" s="4">
        <v>35</v>
      </c>
      <c r="B779" s="4" t="s">
        <v>7</v>
      </c>
      <c r="C779" s="4" t="s">
        <v>15</v>
      </c>
      <c r="D779" s="4" t="s">
        <v>12</v>
      </c>
      <c r="E779" s="4" t="s">
        <v>16</v>
      </c>
      <c r="F779" s="4">
        <v>102</v>
      </c>
      <c r="G779" s="5">
        <v>921.67199999999991</v>
      </c>
      <c r="H779" s="17">
        <f t="shared" si="0"/>
        <v>706.27599999999995</v>
      </c>
      <c r="I779" s="18">
        <f t="shared" si="3"/>
        <v>-0.23370136013679485</v>
      </c>
      <c r="J779" s="18">
        <f t="shared" si="4"/>
        <v>0.23370136013679485</v>
      </c>
      <c r="K779" s="11"/>
    </row>
    <row r="780" spans="1:11">
      <c r="A780" s="4">
        <v>37</v>
      </c>
      <c r="B780" s="4" t="s">
        <v>7</v>
      </c>
      <c r="C780" s="4" t="s">
        <v>15</v>
      </c>
      <c r="D780" s="4" t="s">
        <v>12</v>
      </c>
      <c r="E780" s="4" t="s">
        <v>16</v>
      </c>
      <c r="F780" s="4">
        <v>108</v>
      </c>
      <c r="G780" s="5">
        <v>650.59199999999998</v>
      </c>
      <c r="H780" s="17">
        <f t="shared" si="0"/>
        <v>712.50400000000002</v>
      </c>
      <c r="I780" s="18">
        <f t="shared" si="3"/>
        <v>9.5162559637991306E-2</v>
      </c>
      <c r="J780" s="18">
        <f t="shared" si="4"/>
        <v>9.5162559637991306E-2</v>
      </c>
      <c r="K780" s="11"/>
    </row>
    <row r="781" spans="1:11">
      <c r="A781" s="4">
        <v>38</v>
      </c>
      <c r="B781" s="4" t="s">
        <v>7</v>
      </c>
      <c r="C781" s="4" t="s">
        <v>17</v>
      </c>
      <c r="D781" s="6" t="s">
        <v>14</v>
      </c>
      <c r="E781" s="4" t="s">
        <v>16</v>
      </c>
      <c r="F781" s="6">
        <v>108</v>
      </c>
      <c r="G781" s="6">
        <v>1276</v>
      </c>
      <c r="H781" s="17">
        <f t="shared" si="0"/>
        <v>712.50400000000002</v>
      </c>
      <c r="I781" s="18">
        <f t="shared" si="3"/>
        <v>-0.44161128526645765</v>
      </c>
      <c r="J781" s="18">
        <f t="shared" si="4"/>
        <v>0.44161128526645765</v>
      </c>
      <c r="K781" s="11"/>
    </row>
    <row r="782" spans="1:11">
      <c r="A782" s="4">
        <v>39</v>
      </c>
      <c r="B782" s="4" t="s">
        <v>7</v>
      </c>
      <c r="C782" s="4" t="s">
        <v>17</v>
      </c>
      <c r="D782" s="4" t="s">
        <v>12</v>
      </c>
      <c r="E782" s="4" t="s">
        <v>16</v>
      </c>
      <c r="F782" s="6">
        <v>110</v>
      </c>
      <c r="G782" s="6">
        <v>884</v>
      </c>
      <c r="H782" s="17">
        <f t="shared" si="0"/>
        <v>714.57999999999993</v>
      </c>
      <c r="I782" s="18">
        <f t="shared" si="3"/>
        <v>-0.19165158371040733</v>
      </c>
      <c r="J782" s="18">
        <f t="shared" si="4"/>
        <v>0.19165158371040733</v>
      </c>
      <c r="K782" s="11"/>
    </row>
    <row r="783" spans="1:11">
      <c r="A783" s="4">
        <v>40</v>
      </c>
      <c r="B783" s="4" t="s">
        <v>7</v>
      </c>
      <c r="C783" s="4" t="s">
        <v>15</v>
      </c>
      <c r="D783" s="4" t="s">
        <v>12</v>
      </c>
      <c r="E783" s="4" t="s">
        <v>16</v>
      </c>
      <c r="F783" s="4">
        <v>114</v>
      </c>
      <c r="G783" s="5">
        <v>502</v>
      </c>
      <c r="H783" s="17">
        <f t="shared" si="0"/>
        <v>718.73199999999997</v>
      </c>
      <c r="I783" s="18">
        <f t="shared" si="3"/>
        <v>0.43173705179282862</v>
      </c>
      <c r="J783" s="18">
        <f t="shared" si="4"/>
        <v>0.43173705179282862</v>
      </c>
      <c r="K783" s="11"/>
    </row>
    <row r="784" spans="1:11">
      <c r="A784" s="4">
        <v>42</v>
      </c>
      <c r="B784" s="4" t="s">
        <v>11</v>
      </c>
      <c r="C784" s="6" t="s">
        <v>8</v>
      </c>
      <c r="D784" s="6" t="s">
        <v>9</v>
      </c>
      <c r="E784" s="4" t="s">
        <v>16</v>
      </c>
      <c r="F784" s="6">
        <v>115</v>
      </c>
      <c r="G784" s="6">
        <v>285</v>
      </c>
      <c r="H784" s="17">
        <f t="shared" si="0"/>
        <v>719.77</v>
      </c>
      <c r="I784" s="18">
        <f t="shared" si="3"/>
        <v>1.5255087719298246</v>
      </c>
      <c r="J784" s="18">
        <f t="shared" si="4"/>
        <v>1.5255087719298246</v>
      </c>
      <c r="K784" s="11"/>
    </row>
    <row r="785" spans="1:11">
      <c r="A785" s="4">
        <v>43</v>
      </c>
      <c r="B785" s="4" t="s">
        <v>7</v>
      </c>
      <c r="C785" s="4" t="s">
        <v>15</v>
      </c>
      <c r="D785" s="4" t="s">
        <v>12</v>
      </c>
      <c r="E785" s="4" t="s">
        <v>16</v>
      </c>
      <c r="F785" s="4">
        <v>115</v>
      </c>
      <c r="G785" s="5">
        <v>692.75999999999988</v>
      </c>
      <c r="H785" s="17">
        <f t="shared" si="0"/>
        <v>719.77</v>
      </c>
      <c r="I785" s="18">
        <f t="shared" si="3"/>
        <v>3.8988971649633511E-2</v>
      </c>
      <c r="J785" s="18">
        <f t="shared" si="4"/>
        <v>3.8988971649633511E-2</v>
      </c>
      <c r="K785" s="11"/>
    </row>
    <row r="786" spans="1:11">
      <c r="A786" s="4">
        <v>45</v>
      </c>
      <c r="B786" s="4" t="s">
        <v>7</v>
      </c>
      <c r="C786" s="4" t="s">
        <v>15</v>
      </c>
      <c r="D786" s="4" t="s">
        <v>12</v>
      </c>
      <c r="E786" s="4" t="s">
        <v>16</v>
      </c>
      <c r="F786" s="4">
        <v>117</v>
      </c>
      <c r="G786" s="5">
        <v>728.30159999999989</v>
      </c>
      <c r="H786" s="17">
        <f t="shared" si="0"/>
        <v>721.846</v>
      </c>
      <c r="I786" s="18">
        <f t="shared" si="3"/>
        <v>-8.8639102262028421E-3</v>
      </c>
      <c r="J786" s="18">
        <f t="shared" si="4"/>
        <v>8.8639102262028421E-3</v>
      </c>
      <c r="K786" s="11"/>
    </row>
    <row r="787" spans="1:11">
      <c r="A787" s="4">
        <v>46</v>
      </c>
      <c r="B787" s="4" t="s">
        <v>7</v>
      </c>
      <c r="C787" s="4" t="s">
        <v>15</v>
      </c>
      <c r="D787" s="4" t="s">
        <v>12</v>
      </c>
      <c r="E787" s="4" t="s">
        <v>16</v>
      </c>
      <c r="F787" s="4">
        <v>117</v>
      </c>
      <c r="G787" s="5">
        <v>998.47799999999984</v>
      </c>
      <c r="H787" s="17">
        <f t="shared" si="0"/>
        <v>721.846</v>
      </c>
      <c r="I787" s="18">
        <f t="shared" si="3"/>
        <v>-0.27705367569440675</v>
      </c>
      <c r="J787" s="18">
        <f t="shared" si="4"/>
        <v>0.27705367569440675</v>
      </c>
      <c r="K787" s="11"/>
    </row>
    <row r="788" spans="1:11">
      <c r="A788" s="4">
        <v>48</v>
      </c>
      <c r="B788" s="4" t="s">
        <v>7</v>
      </c>
      <c r="C788" s="4" t="s">
        <v>17</v>
      </c>
      <c r="D788" s="4" t="s">
        <v>12</v>
      </c>
      <c r="E788" s="4" t="s">
        <v>16</v>
      </c>
      <c r="F788" s="6">
        <v>122</v>
      </c>
      <c r="G788" s="6">
        <v>1045</v>
      </c>
      <c r="H788" s="17">
        <f t="shared" si="0"/>
        <v>727.03599999999994</v>
      </c>
      <c r="I788" s="18">
        <f t="shared" si="3"/>
        <v>-0.3042717703349283</v>
      </c>
      <c r="J788" s="18">
        <f t="shared" si="4"/>
        <v>0.3042717703349283</v>
      </c>
      <c r="K788" s="11"/>
    </row>
    <row r="789" spans="1:11">
      <c r="A789" s="4">
        <v>49</v>
      </c>
      <c r="B789" s="4" t="s">
        <v>7</v>
      </c>
      <c r="C789" s="4" t="s">
        <v>15</v>
      </c>
      <c r="D789" s="4" t="s">
        <v>12</v>
      </c>
      <c r="E789" s="4" t="s">
        <v>16</v>
      </c>
      <c r="F789" s="4">
        <v>125</v>
      </c>
      <c r="G789" s="5">
        <v>1004</v>
      </c>
      <c r="H789" s="17">
        <f t="shared" si="0"/>
        <v>730.15</v>
      </c>
      <c r="I789" s="18">
        <f t="shared" si="3"/>
        <v>-0.27275896414342632</v>
      </c>
      <c r="J789" s="18">
        <f t="shared" si="4"/>
        <v>0.27275896414342632</v>
      </c>
      <c r="K789" s="11"/>
    </row>
    <row r="790" spans="1:11">
      <c r="A790" s="4">
        <v>51</v>
      </c>
      <c r="B790" s="4" t="s">
        <v>7</v>
      </c>
      <c r="C790" s="4" t="s">
        <v>15</v>
      </c>
      <c r="D790" s="4" t="s">
        <v>12</v>
      </c>
      <c r="E790" s="4" t="s">
        <v>16</v>
      </c>
      <c r="F790" s="4">
        <v>127</v>
      </c>
      <c r="G790" s="5">
        <v>1020.064</v>
      </c>
      <c r="H790" s="17">
        <f t="shared" si="0"/>
        <v>732.226</v>
      </c>
      <c r="I790" s="18">
        <f t="shared" si="3"/>
        <v>-0.2821764124603946</v>
      </c>
      <c r="J790" s="18">
        <f t="shared" si="4"/>
        <v>0.2821764124603946</v>
      </c>
      <c r="K790" s="11"/>
    </row>
    <row r="791" spans="1:11">
      <c r="A791" s="4">
        <v>52</v>
      </c>
      <c r="B791" s="4" t="s">
        <v>7</v>
      </c>
      <c r="C791" s="4" t="s">
        <v>15</v>
      </c>
      <c r="D791" s="4" t="s">
        <v>12</v>
      </c>
      <c r="E791" s="4" t="s">
        <v>16</v>
      </c>
      <c r="F791" s="6">
        <v>135</v>
      </c>
      <c r="G791" s="6">
        <v>1053</v>
      </c>
      <c r="H791" s="17">
        <f t="shared" si="0"/>
        <v>740.53</v>
      </c>
      <c r="I791" s="18">
        <f t="shared" si="3"/>
        <v>-0.29674264007597345</v>
      </c>
      <c r="J791" s="18">
        <f t="shared" si="4"/>
        <v>0.29674264007597345</v>
      </c>
      <c r="K791" s="11"/>
    </row>
    <row r="792" spans="1:11">
      <c r="A792" s="4">
        <v>54</v>
      </c>
      <c r="B792" s="4" t="s">
        <v>7</v>
      </c>
      <c r="C792" s="4" t="s">
        <v>15</v>
      </c>
      <c r="D792" s="4" t="s">
        <v>12</v>
      </c>
      <c r="E792" s="4" t="s">
        <v>16</v>
      </c>
      <c r="F792" s="4">
        <v>136</v>
      </c>
      <c r="G792" s="5">
        <v>1024.08</v>
      </c>
      <c r="H792" s="17">
        <f t="shared" si="0"/>
        <v>741.56799999999998</v>
      </c>
      <c r="I792" s="18">
        <f t="shared" si="3"/>
        <v>-0.27586907272869304</v>
      </c>
      <c r="J792" s="18">
        <f t="shared" si="4"/>
        <v>0.27586907272869304</v>
      </c>
      <c r="K792" s="11"/>
    </row>
    <row r="793" spans="1:11">
      <c r="A793" s="4">
        <v>55</v>
      </c>
      <c r="B793" s="4" t="s">
        <v>7</v>
      </c>
      <c r="C793" s="4" t="s">
        <v>15</v>
      </c>
      <c r="D793" s="4" t="s">
        <v>12</v>
      </c>
      <c r="E793" s="4" t="s">
        <v>16</v>
      </c>
      <c r="F793" s="4">
        <v>143</v>
      </c>
      <c r="G793" s="5">
        <v>861.4319999999999</v>
      </c>
      <c r="H793" s="17">
        <f t="shared" si="0"/>
        <v>748.83399999999995</v>
      </c>
      <c r="I793" s="18">
        <f t="shared" si="3"/>
        <v>-0.13071025919631493</v>
      </c>
      <c r="J793" s="18">
        <f t="shared" si="4"/>
        <v>0.13071025919631493</v>
      </c>
      <c r="K793" s="11"/>
    </row>
    <row r="794" spans="1:11">
      <c r="A794" s="4">
        <v>59</v>
      </c>
      <c r="B794" s="4" t="s">
        <v>7</v>
      </c>
      <c r="C794" s="4" t="s">
        <v>15</v>
      </c>
      <c r="D794" s="4" t="s">
        <v>12</v>
      </c>
      <c r="E794" s="4" t="s">
        <v>16</v>
      </c>
      <c r="F794" s="4">
        <v>153</v>
      </c>
      <c r="G794" s="5">
        <v>1228.896</v>
      </c>
      <c r="H794" s="17">
        <f t="shared" si="0"/>
        <v>759.21399999999994</v>
      </c>
      <c r="I794" s="18">
        <f t="shared" si="3"/>
        <v>-0.38219833085956828</v>
      </c>
      <c r="J794" s="18">
        <f t="shared" si="4"/>
        <v>0.38219833085956828</v>
      </c>
      <c r="K794" s="11"/>
    </row>
    <row r="795" spans="1:11">
      <c r="A795" s="4">
        <v>60</v>
      </c>
      <c r="B795" s="4" t="s">
        <v>7</v>
      </c>
      <c r="C795" s="4" t="s">
        <v>15</v>
      </c>
      <c r="D795" s="4" t="s">
        <v>12</v>
      </c>
      <c r="E795" s="4" t="s">
        <v>16</v>
      </c>
      <c r="F795" s="6">
        <v>156</v>
      </c>
      <c r="G795" s="6">
        <v>1025</v>
      </c>
      <c r="H795" s="17">
        <f t="shared" si="0"/>
        <v>762.32799999999997</v>
      </c>
      <c r="I795" s="18">
        <f t="shared" si="3"/>
        <v>-0.25626536585365856</v>
      </c>
      <c r="J795" s="18">
        <f t="shared" si="4"/>
        <v>0.25626536585365856</v>
      </c>
      <c r="K795" s="11"/>
    </row>
    <row r="796" spans="1:11">
      <c r="A796" s="4">
        <v>63</v>
      </c>
      <c r="B796" s="4" t="s">
        <v>7</v>
      </c>
      <c r="C796" s="4" t="s">
        <v>15</v>
      </c>
      <c r="D796" s="4" t="s">
        <v>12</v>
      </c>
      <c r="E796" s="4" t="s">
        <v>16</v>
      </c>
      <c r="F796" s="4">
        <v>162</v>
      </c>
      <c r="G796" s="5">
        <v>1305</v>
      </c>
      <c r="H796" s="17">
        <f t="shared" si="0"/>
        <v>768.55600000000004</v>
      </c>
      <c r="I796" s="18">
        <f t="shared" si="3"/>
        <v>-0.41106819923371646</v>
      </c>
      <c r="J796" s="18">
        <f t="shared" si="4"/>
        <v>0.41106819923371646</v>
      </c>
      <c r="K796" s="11"/>
    </row>
    <row r="797" spans="1:11">
      <c r="A797" s="4">
        <v>67</v>
      </c>
      <c r="B797" s="4" t="s">
        <v>11</v>
      </c>
      <c r="C797" s="6" t="s">
        <v>8</v>
      </c>
      <c r="D797" s="6" t="s">
        <v>9</v>
      </c>
      <c r="E797" s="4" t="s">
        <v>16</v>
      </c>
      <c r="F797" s="6">
        <v>178</v>
      </c>
      <c r="G797" s="6">
        <v>290</v>
      </c>
      <c r="H797" s="17">
        <f t="shared" si="0"/>
        <v>785.16399999999999</v>
      </c>
      <c r="I797" s="18">
        <f t="shared" si="3"/>
        <v>1.7074620689655171</v>
      </c>
      <c r="J797" s="18">
        <f t="shared" si="4"/>
        <v>1.7074620689655171</v>
      </c>
      <c r="K797" s="11"/>
    </row>
    <row r="798" spans="1:11">
      <c r="A798" s="4">
        <v>68</v>
      </c>
      <c r="B798" s="4" t="s">
        <v>7</v>
      </c>
      <c r="C798" s="4" t="s">
        <v>15</v>
      </c>
      <c r="D798" s="6" t="s">
        <v>9</v>
      </c>
      <c r="E798" s="4" t="s">
        <v>16</v>
      </c>
      <c r="F798" s="6">
        <v>179</v>
      </c>
      <c r="G798" s="6">
        <v>789</v>
      </c>
      <c r="H798" s="17">
        <f t="shared" si="0"/>
        <v>786.202</v>
      </c>
      <c r="I798" s="18">
        <f t="shared" si="3"/>
        <v>-3.5462610899873281E-3</v>
      </c>
      <c r="J798" s="18">
        <f t="shared" si="4"/>
        <v>3.5462610899873281E-3</v>
      </c>
      <c r="K798" s="11"/>
    </row>
    <row r="799" spans="1:11">
      <c r="A799" s="4">
        <v>71</v>
      </c>
      <c r="B799" s="4" t="s">
        <v>7</v>
      </c>
      <c r="C799" s="4" t="s">
        <v>15</v>
      </c>
      <c r="D799" s="6" t="s">
        <v>14</v>
      </c>
      <c r="E799" s="4" t="s">
        <v>16</v>
      </c>
      <c r="F799" s="6">
        <v>183</v>
      </c>
      <c r="G799" s="6">
        <v>460</v>
      </c>
      <c r="H799" s="17">
        <f t="shared" si="0"/>
        <v>790.35400000000004</v>
      </c>
      <c r="I799" s="18">
        <f t="shared" si="3"/>
        <v>0.71816086956521752</v>
      </c>
      <c r="J799" s="18">
        <f t="shared" si="4"/>
        <v>0.71816086956521752</v>
      </c>
      <c r="K799" s="11"/>
    </row>
    <row r="800" spans="1:11">
      <c r="A800" s="4">
        <v>72</v>
      </c>
      <c r="B800" s="4" t="s">
        <v>7</v>
      </c>
      <c r="C800" s="4" t="s">
        <v>17</v>
      </c>
      <c r="D800" s="4" t="s">
        <v>12</v>
      </c>
      <c r="E800" s="4" t="s">
        <v>16</v>
      </c>
      <c r="F800" s="6">
        <v>189</v>
      </c>
      <c r="G800" s="6">
        <v>315</v>
      </c>
      <c r="H800" s="17">
        <f t="shared" si="0"/>
        <v>796.58199999999999</v>
      </c>
      <c r="I800" s="18">
        <f t="shared" si="3"/>
        <v>1.528831746031746</v>
      </c>
      <c r="J800" s="18">
        <f t="shared" si="4"/>
        <v>1.528831746031746</v>
      </c>
      <c r="K800" s="11"/>
    </row>
    <row r="801" spans="1:11">
      <c r="A801" s="4">
        <v>73</v>
      </c>
      <c r="B801" s="4" t="s">
        <v>7</v>
      </c>
      <c r="C801" s="4" t="s">
        <v>15</v>
      </c>
      <c r="D801" s="4" t="s">
        <v>12</v>
      </c>
      <c r="E801" s="4" t="s">
        <v>16</v>
      </c>
      <c r="F801" s="4">
        <v>193</v>
      </c>
      <c r="G801" s="5">
        <v>734</v>
      </c>
      <c r="H801" s="17">
        <f t="shared" si="0"/>
        <v>800.73399999999992</v>
      </c>
      <c r="I801" s="18">
        <f t="shared" si="3"/>
        <v>9.091825613079009E-2</v>
      </c>
      <c r="J801" s="18">
        <f t="shared" si="4"/>
        <v>9.091825613079009E-2</v>
      </c>
      <c r="K801" s="11"/>
    </row>
    <row r="802" spans="1:11">
      <c r="A802" s="4">
        <v>74</v>
      </c>
      <c r="B802" s="4" t="s">
        <v>7</v>
      </c>
      <c r="C802" s="4" t="s">
        <v>17</v>
      </c>
      <c r="D802" s="4" t="s">
        <v>12</v>
      </c>
      <c r="E802" s="4" t="s">
        <v>16</v>
      </c>
      <c r="F802" s="6">
        <v>195</v>
      </c>
      <c r="G802" s="6">
        <v>322</v>
      </c>
      <c r="H802" s="17">
        <f t="shared" si="0"/>
        <v>802.81</v>
      </c>
      <c r="I802" s="18">
        <f t="shared" si="3"/>
        <v>1.4931987577639749</v>
      </c>
      <c r="J802" s="18">
        <f t="shared" si="4"/>
        <v>1.4931987577639749</v>
      </c>
      <c r="K802" s="11"/>
    </row>
    <row r="806" spans="1:11" s="38" customFormat="1"/>
    <row r="807" spans="1:11" s="38" customFormat="1"/>
    <row r="808" spans="1:11" s="38" customFormat="1"/>
    <row r="809" spans="1:11" s="38" customFormat="1"/>
    <row r="810" spans="1:11" s="38" customFormat="1"/>
    <row r="811" spans="1:11" s="38" customFormat="1"/>
    <row r="812" spans="1:11" s="38" customFormat="1"/>
    <row r="813" spans="1:11" s="38" customFormat="1"/>
    <row r="814" spans="1:11" s="38" customFormat="1"/>
    <row r="815" spans="1:11" s="38" customFormat="1"/>
    <row r="816" spans="1:11" s="38" customFormat="1">
      <c r="B816" s="39"/>
    </row>
    <row r="817" spans="2:5" s="38" customFormat="1"/>
    <row r="818" spans="2:5" s="38" customFormat="1"/>
    <row r="819" spans="2:5" s="38" customFormat="1"/>
    <row r="820" spans="2:5" s="38" customFormat="1"/>
    <row r="821" spans="2:5" s="38" customFormat="1">
      <c r="B821" s="39"/>
      <c r="E821" s="40"/>
    </row>
    <row r="822" spans="2:5" s="38" customFormat="1"/>
    <row r="823" spans="2:5" s="38" customFormat="1"/>
    <row r="824" spans="2:5" s="38" customFormat="1"/>
    <row r="825" spans="2:5" s="38" customFormat="1"/>
    <row r="826" spans="2:5" s="38" customFormat="1">
      <c r="B826" s="39"/>
    </row>
    <row r="827" spans="2:5" s="38" customFormat="1"/>
    <row r="828" spans="2:5" s="38" customFormat="1"/>
    <row r="829" spans="2:5" s="38" customForma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Database</vt:lpstr>
      <vt:lpstr>Business-Web-New-Java </vt:lpstr>
      <vt:lpstr>Real time-Maintenance-Java</vt:lpstr>
      <vt:lpstr>Real time-Maintenance</vt:lpstr>
      <vt:lpstr>Real time-C</vt:lpstr>
      <vt:lpstr>Maintenance</vt:lpstr>
      <vt:lpstr>Business-New</vt:lpstr>
      <vt:lpstr>Real time</vt:lpstr>
      <vt:lpstr>New</vt:lpstr>
      <vt:lpstr>C</vt:lpstr>
      <vt:lpstr>Java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Jean-Marc</dc:creator>
  <cp:keywords/>
  <dc:description/>
  <cp:lastModifiedBy>Sion Israel Sion</cp:lastModifiedBy>
  <cp:revision/>
  <dcterms:created xsi:type="dcterms:W3CDTF">2025-03-10T15:50:17Z</dcterms:created>
  <dcterms:modified xsi:type="dcterms:W3CDTF">2026-05-06T17:41:54Z</dcterms:modified>
  <cp:category/>
  <cp:contentStatus/>
</cp:coreProperties>
</file>